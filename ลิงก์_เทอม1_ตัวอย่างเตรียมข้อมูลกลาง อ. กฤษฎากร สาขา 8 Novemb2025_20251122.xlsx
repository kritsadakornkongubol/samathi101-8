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E:\projectcode\python\samathi101\"/>
    </mc:Choice>
  </mc:AlternateContent>
  <xr:revisionPtr revIDLastSave="0" documentId="13_ncr:1_{6E822142-6FB6-4455-8ECD-5CF458A7D4F5}" xr6:coauthVersionLast="47" xr6:coauthVersionMax="47" xr10:uidLastSave="{00000000-0000-0000-0000-000000000000}"/>
  <bookViews>
    <workbookView xWindow="375" yWindow="225" windowWidth="24195" windowHeight="15255" tabRatio="762" activeTab="4" xr2:uid="{00000000-000D-0000-FFFF-FFFF00000000}"/>
  </bookViews>
  <sheets>
    <sheet name="1) ลิงก์วันปฐมนิเทศ" sheetId="1" r:id="rId1"/>
    <sheet name="2)ลิงก์เรียนประจำวัน" sheetId="2" r:id="rId2"/>
    <sheet name="3) ลิงก์วันเรียนปกติเทอม 1" sheetId="3" r:id="rId3"/>
    <sheet name="4) ลิงก์วันเรียนเสริมเทอม 1" sheetId="4" r:id="rId4"/>
    <sheet name="5.)ตัวอย่างลำดับการโพสเรียนปกติ" sheetId="5" r:id="rId5"/>
    <sheet name="linkเรียนประจำวัน" sheetId="6" r:id="rId6"/>
    <sheet name="linkรูปหัวข้อเรียน" sheetId="7" r:id="rId7"/>
    <sheet name="linkรูปอาจารย์" sheetId="8" r:id="rId8"/>
  </sheets>
  <definedNames>
    <definedName name="_xlnm._FilterDatabase" localSheetId="6" hidden="1">linkรูปหัวข้อเรียน!$A$1:$G$318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SU3Jj8cSg2GXuyJfGtJBOOkNFeeg9Opvu4kORaCpN1Q="/>
    </ext>
  </extLst>
</workbook>
</file>

<file path=xl/calcChain.xml><?xml version="1.0" encoding="utf-8"?>
<calcChain xmlns="http://schemas.openxmlformats.org/spreadsheetml/2006/main">
  <c r="E99" i="8" l="1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A26" i="8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4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E3" i="8"/>
  <c r="A3" i="8"/>
  <c r="E2" i="8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E7" i="6"/>
  <c r="E6" i="6"/>
  <c r="E5" i="6"/>
  <c r="E4" i="6"/>
  <c r="E3" i="6"/>
  <c r="A3" i="6"/>
  <c r="A4" i="6" s="1"/>
  <c r="A5" i="6" s="1"/>
  <c r="A6" i="6" s="1"/>
  <c r="A7" i="6" s="1"/>
  <c r="E2" i="6"/>
  <c r="G23" i="5" s="1"/>
  <c r="G44" i="5"/>
  <c r="F44" i="5"/>
  <c r="B44" i="5"/>
  <c r="F40" i="5"/>
  <c r="B40" i="5"/>
  <c r="F38" i="5"/>
  <c r="B38" i="5"/>
  <c r="F36" i="5"/>
  <c r="B36" i="5"/>
  <c r="D28" i="5"/>
  <c r="F28" i="5" s="1"/>
  <c r="B28" i="5"/>
  <c r="F27" i="5"/>
  <c r="E27" i="5"/>
  <c r="F26" i="5"/>
  <c r="F21" i="5"/>
  <c r="G20" i="5"/>
  <c r="F20" i="5"/>
  <c r="F19" i="5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B15" i="5" a="1"/>
  <c r="B15" i="5" s="1"/>
  <c r="E33" i="5" s="1"/>
  <c r="B14" i="5" a="1"/>
  <c r="B14" i="5"/>
  <c r="G34" i="5" s="1"/>
  <c r="B13" i="5" a="1"/>
  <c r="B13" i="5" s="1"/>
  <c r="E34" i="5" s="1"/>
  <c r="B12" i="5" a="1"/>
  <c r="B12" i="5" s="1"/>
  <c r="G29" i="5" s="1"/>
  <c r="B11" i="5" a="1"/>
  <c r="B11" i="5"/>
  <c r="E29" i="5" s="1"/>
  <c r="E30" i="5" s="1"/>
  <c r="B9" i="5" a="1"/>
  <c r="B9" i="5" s="1"/>
  <c r="B8" i="5"/>
  <c r="G22" i="5" l="1"/>
  <c r="G31" i="5"/>
  <c r="E35" i="5"/>
  <c r="E31" i="5"/>
  <c r="E32" i="5" s="1"/>
  <c r="D30" i="5"/>
  <c r="A30" i="5"/>
  <c r="A31" i="5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D18" i="5"/>
  <c r="F18" i="5" s="1"/>
  <c r="D45" i="5"/>
  <c r="B10" i="5"/>
  <c r="D34" i="5"/>
  <c r="D29" i="5"/>
  <c r="F45" i="5" l="1"/>
  <c r="B45" i="5"/>
  <c r="A43" i="5"/>
  <c r="A44" i="5"/>
  <c r="A45" i="5" s="1"/>
  <c r="F29" i="5"/>
  <c r="B29" i="5"/>
  <c r="B30" i="5"/>
  <c r="F30" i="5"/>
  <c r="D33" i="5"/>
  <c r="G33" i="5" s="1"/>
  <c r="D24" i="5"/>
  <c r="G24" i="5" s="1"/>
  <c r="D42" i="5"/>
  <c r="G42" i="5" s="1"/>
  <c r="D32" i="5"/>
  <c r="G32" i="5" s="1"/>
  <c r="B34" i="5"/>
  <c r="F34" i="5"/>
  <c r="E37" i="5"/>
  <c r="D35" i="5"/>
  <c r="B35" i="5" l="1"/>
  <c r="F35" i="5"/>
  <c r="D37" i="5"/>
  <c r="E39" i="5"/>
  <c r="E41" i="5" l="1"/>
  <c r="D39" i="5"/>
  <c r="F37" i="5"/>
  <c r="B37" i="5"/>
  <c r="B39" i="5" l="1"/>
  <c r="F39" i="5"/>
  <c r="D41" i="5"/>
  <c r="E43" i="5"/>
  <c r="D43" i="5" s="1"/>
  <c r="B43" i="5" l="1"/>
  <c r="F43" i="5"/>
  <c r="F41" i="5"/>
  <c r="B41" i="5"/>
</calcChain>
</file>

<file path=xl/sharedStrings.xml><?xml version="1.0" encoding="utf-8"?>
<sst xmlns="http://schemas.openxmlformats.org/spreadsheetml/2006/main" count="2271" uniqueCount="1166">
  <si>
    <t>รายการหัวข้อ youtube ที่ใช้ในวันปฐมนิเทศ (เรียงตามลำดับการใช้งาน)</t>
  </si>
  <si>
    <t>ลำดับ</t>
  </si>
  <si>
    <t>วีดิทัศน์ใช้ในวันปฐมนิเทศ</t>
  </si>
  <si>
    <t>ลิงก์ (Link)</t>
  </si>
  <si>
    <t>ความยาว
(นาที)</t>
  </si>
  <si>
    <t>เพลงอรุณทอแสง</t>
  </si>
  <si>
    <t xml:space="preserve">https://youtu.be/_Zsr-xXAcZ8 </t>
  </si>
  <si>
    <t>4:10</t>
  </si>
  <si>
    <t xml:space="preserve">คำกล่าวบูชาพระรัตนตรัย  </t>
  </si>
  <si>
    <t xml:space="preserve">https://youtu.be/c29VxS0RgPg </t>
  </si>
  <si>
    <t>1:36</t>
  </si>
  <si>
    <t xml:space="preserve">พิธีมอบตัวเป็นศิษย์ </t>
  </si>
  <si>
    <t>https://youtu.be/h0RaGmNPCT0</t>
  </si>
  <si>
    <t>6:57</t>
  </si>
  <si>
    <t xml:space="preserve">คำสัตย์ปฏิญาณ </t>
  </si>
  <si>
    <t xml:space="preserve">https://youtu.be/JFSEwxvw_PA </t>
  </si>
  <si>
    <t>1:31</t>
  </si>
  <si>
    <t>อัตชีวประวัติสมเด็จพระญาณวชิโรดม วิริยังค์ สิรินฺธโร</t>
  </si>
  <si>
    <t>https://youtu.be/_Ca7x0NEAxs</t>
  </si>
  <si>
    <t>25:27</t>
  </si>
  <si>
    <t>สัมโมทนียกถา</t>
  </si>
  <si>
    <t>https://youtu.be/hNTNAxVW-5o</t>
  </si>
  <si>
    <t>26:46</t>
  </si>
  <si>
    <t xml:space="preserve">พิธีเปิดหลักสูตรวิทันตสาสมาธิ </t>
  </si>
  <si>
    <t>https://youtu.be/TiNPUIDwuSE</t>
  </si>
  <si>
    <t>27:13</t>
  </si>
  <si>
    <t>ระเบียบปฏิบัติการเรียนสมาธิออนไลน์</t>
  </si>
  <si>
    <t>https://youtu.be/NRgY-1rIWtM</t>
  </si>
  <si>
    <t>03:20</t>
  </si>
  <si>
    <t xml:space="preserve">วิธีเดินจงกรม </t>
  </si>
  <si>
    <t>https://youtu.be/HbI_l-zx9Sg</t>
  </si>
  <si>
    <t>4:31</t>
  </si>
  <si>
    <t>วิธีนั่งสมาธิ</t>
  </si>
  <si>
    <t>https://youtu.be/hZTUNntTkBY</t>
  </si>
  <si>
    <t>3:52</t>
  </si>
  <si>
    <t>นาฬิกาจับเวลา</t>
  </si>
  <si>
    <t>https://sumana.org/clock/?openExternalBrowser=1</t>
  </si>
  <si>
    <t>บทสวดอธิษฐานก่อนการเดินจงกรม</t>
  </si>
  <si>
    <t>https://youtu.be/o0B6212q8wo</t>
  </si>
  <si>
    <t>0:18</t>
  </si>
  <si>
    <t>บทสวดแผ่เมตตาหลังการเดินจงกรม</t>
  </si>
  <si>
    <t>https://youtu.be/0_DOyGbAPfo</t>
  </si>
  <si>
    <t>0:21</t>
  </si>
  <si>
    <t>บทสวดอธิษฐานก่อนการนั่งสมาธิ</t>
  </si>
  <si>
    <t>https://youtu.be/AM0o2bywjaM</t>
  </si>
  <si>
    <t>0:54</t>
  </si>
  <si>
    <t>บทสวดแผ่เมตตาหลังการนั่งสมาธิ</t>
  </si>
  <si>
    <t>https://youtu.be/zQkscnSYO10</t>
  </si>
  <si>
    <t>1:16</t>
  </si>
  <si>
    <t>วิริยังคมหาเถโรวาท</t>
  </si>
  <si>
    <t>https://youtu.be/ToLV7T9aZoc</t>
  </si>
  <si>
    <t>0:30</t>
  </si>
  <si>
    <t>ลิงก์สำหรับโพสต์ประจำวัน</t>
  </si>
  <si>
    <t>กิจกรรม</t>
  </si>
  <si>
    <t>เวลาความยาวลิงก์ (นาที)</t>
  </si>
  <si>
    <t>ข้อความพิมพ์หัวลิงก์</t>
  </si>
  <si>
    <t>Link กิจกรรม</t>
  </si>
  <si>
    <t>หมายเหตุ</t>
  </si>
  <si>
    <t>ระเบียบปฏิบัติ การเรียนหลักสูตรวิทันตสาสมาธิออนไลน์</t>
  </si>
  <si>
    <t>โพสต์เพียงครั้งเดียว  (ไม่ต้องลบออกจากห้องเรียน) และไม่ต้องโพสต์ใหม่ทุกวัน</t>
  </si>
  <si>
    <t>นำเข้าสู่บทเรียน</t>
  </si>
  <si>
    <t>เรียนเชิญนักศึกษาเข้าสู่บทเรียน ร่วมบูชาพระรัตนตรัย และกล่าวคำสัตย์ปฏิญาณโดยพร้อมเพรียงกัน</t>
  </si>
  <si>
    <t>https://youtu.be/ienVuHBQMxQ</t>
  </si>
  <si>
    <t>-</t>
  </si>
  <si>
    <t>ปฏิบัติเดินจงกรม 30 นาที</t>
  </si>
  <si>
    <t>ขอเชิญนักศึกษาทุกท่านปฏิบัติเดินจงกรม เป็นเวลา 30 นาที</t>
  </si>
  <si>
    <t>https://youtu.be/jHQ_63bROqY</t>
  </si>
  <si>
    <t>ปฏิบัตินั่งสมาธิ 30 นาที</t>
  </si>
  <si>
    <t>ขอเชิญนักศึกษาทุกท่านปฏิบัตินั่งสมาธิ  เป็นเวลา 30 นาที</t>
  </si>
  <si>
    <t>https://youtu.be/hiZ16DCP1eI</t>
  </si>
  <si>
    <t>ช่วงท้ายบทเรียน-บูชาพระรัตนตรัย</t>
  </si>
  <si>
    <t>ขอเชิญนักศึกษาทุกท่านร่วมบูชาพระรัตนตรัย โดยพร้อมเพรียงกัน</t>
  </si>
  <si>
    <t>https://youtu.be/viTRlM3Xme4</t>
  </si>
  <si>
    <t>ตารางเรียนหลักสูตรวิทันตสาสมาธิ online (เทอม 1)</t>
  </si>
  <si>
    <t xml:space="preserve">สาขาที่เปิดเรียน พฤศจิกายน 2567  เรียนวันจันทร์-ศุกร์ เวลา 18.00 - 20.00 น.      </t>
  </si>
  <si>
    <t xml:space="preserve"> เทอม 1 เริ่มวันที่  3 พฤศจิกายน 2567 - วันที่ 30 มกราคม 2568</t>
  </si>
  <si>
    <t>ครั้งที่</t>
  </si>
  <si>
    <t>วดป</t>
  </si>
  <si>
    <t>เวลา</t>
  </si>
  <si>
    <t>หัวข้อวิชา</t>
  </si>
  <si>
    <t>เวลาฟังบรรยาย
พระอาจารย์</t>
  </si>
  <si>
    <t>Link เทปพระอาจารย์หลวงพ่อ</t>
  </si>
  <si>
    <t>เวลาฟังทบทวนการบรรยาย (อาจารย์)</t>
  </si>
  <si>
    <t>Link อาจารย์ ทบทวนการบรรยาย</t>
  </si>
  <si>
    <t>อาจารย์บรรยาย</t>
  </si>
  <si>
    <t>18.00 - 20.00 น.</t>
  </si>
  <si>
    <t>ปฐมนิเทศ(มอบตัวเป็นศิษย์/แนะนำระเบียบปฏิบัตินการเรียน</t>
  </si>
  <si>
    <t>ลิงก์อยู่ใน Sheet ที่ 1) ลิงก์วันปฐมนิเทศ</t>
  </si>
  <si>
    <t>ที่ห้องเรียนออนไลน์  
หรือสาขา</t>
  </si>
  <si>
    <t>สัมโมทนียกถา /รับชมประวัติของสมเด็จพระญาณวชิโรดม</t>
  </si>
  <si>
    <t xml:space="preserve">พิธีเปิด/ปฏิบัติเดินจงกรม-นั่งสมาธิ) </t>
  </si>
  <si>
    <t>จุดประสงค์ของการทำสมาธิ</t>
  </si>
  <si>
    <t>https://youtu.be/1Z1ezwQ1Bhs</t>
  </si>
  <si>
    <t>13:31</t>
  </si>
  <si>
    <t>https://youtu.be/Yp49Ssq9BGc</t>
  </si>
  <si>
    <t>ดร.บวรศักดิ์อุวรรณโณ</t>
  </si>
  <si>
    <t xml:space="preserve"> 1.1.01  อิริยาบถ ยืน-เดิน-นั่ง-นอน</t>
  </si>
  <si>
    <t>https://youtu.be/jsUwwJCnKpc</t>
  </si>
  <si>
    <t>13:09</t>
  </si>
  <si>
    <t>https://youtu.be/xfg51X1HfVs</t>
  </si>
  <si>
    <t>อ.เรณุกา พันทวีศักดิ์</t>
  </si>
  <si>
    <t xml:space="preserve"> 1.1.02   อาการ-กิริยา</t>
  </si>
  <si>
    <t>https://youtu.be/z4My3WB6hV8</t>
  </si>
  <si>
    <t>15:20</t>
  </si>
  <si>
    <t>https://youtu.be/6mBUyIBMe7g</t>
  </si>
  <si>
    <t>อ.แสงอรุณ วัฒนวงศ์</t>
  </si>
  <si>
    <t xml:space="preserve"> 1.1.03   สถานที่-บริเวณ</t>
  </si>
  <si>
    <t>https://youtu.be/KAuyqG4_6Nc</t>
  </si>
  <si>
    <t>12:33</t>
  </si>
  <si>
    <t>https://youtu.be/TdK737oKbjU</t>
  </si>
  <si>
    <t>อ.ศรีวิมล ฉัตรจุฑามาส</t>
  </si>
  <si>
    <t xml:space="preserve"> 1.1.04  ชุมชน-ป่าไม้-ภูเขา</t>
  </si>
  <si>
    <t>https://youtu.be/FlJ40cuS3_U</t>
  </si>
  <si>
    <t>14:31</t>
  </si>
  <si>
    <t>https://youtu.be/hdeiuhdcYUg</t>
  </si>
  <si>
    <t>ดร.สิริกร สุขเกษม</t>
  </si>
  <si>
    <t xml:space="preserve"> 1.1.05   อากาศ หนาว- ร้อน</t>
  </si>
  <si>
    <t>https://youtu.be/GkvZlqGT1YQ</t>
  </si>
  <si>
    <t>14:18</t>
  </si>
  <si>
    <t>https://youtu.be/y8GmNfHdEkw</t>
  </si>
  <si>
    <t>รศ.ธิติ รักชาติ</t>
  </si>
  <si>
    <t xml:space="preserve"> 1.1.06   เวลา</t>
  </si>
  <si>
    <t>https://youtu.be/npZS9SMXZfY</t>
  </si>
  <si>
    <t>17:19</t>
  </si>
  <si>
    <t>https://youtu.be/tWbW32oQNts</t>
  </si>
  <si>
    <t>อ.พรรณี จารุสมบัติ</t>
  </si>
  <si>
    <t xml:space="preserve"> 1.2.01   ความตั้งใจ</t>
  </si>
  <si>
    <t>https://youtu.be/rGBrob_39Zs</t>
  </si>
  <si>
    <t>13:44</t>
  </si>
  <si>
    <t>https://youtu.be/DnHVtsJ8xVw</t>
  </si>
  <si>
    <t>อ.วรรณา ลิ่มพานิชย์</t>
  </si>
  <si>
    <t xml:space="preserve"> 1.2.02   ความวางใจ</t>
  </si>
  <si>
    <t>https://youtu.be/vwrfLItlUM4</t>
  </si>
  <si>
    <t>12:09</t>
  </si>
  <si>
    <t>https://youtu.be/3oTBJw_TU7o</t>
  </si>
  <si>
    <t xml:space="preserve">ผศ.ดร.ปฐมพงษ์ โพธิ์ประสิทธิ์นันท์ </t>
  </si>
  <si>
    <t xml:space="preserve"> 1.2.03   การบริกรรม</t>
  </si>
  <si>
    <t>https://youtu.be/bYbxsqiIdVs</t>
  </si>
  <si>
    <t>18:13</t>
  </si>
  <si>
    <t>https://youtu.be/pe045Lo1g9U</t>
  </si>
  <si>
    <t>ดร.ดาวน้อย สุทธินิภาพันธ์</t>
  </si>
  <si>
    <t xml:space="preserve"> 1.2.04   เริ่มต้นการกำหนด</t>
  </si>
  <si>
    <t>https://youtu.be/1hv8TXyb0h4</t>
  </si>
  <si>
    <t>15:17</t>
  </si>
  <si>
    <t>https://youtu.be/tjOX936dv5s</t>
  </si>
  <si>
    <t>อ.สุดารักษ์ ยิ่งสกุล</t>
  </si>
  <si>
    <t xml:space="preserve"> 1.2.05   เกี่ยวกับลมหายใจ</t>
  </si>
  <si>
    <t>https://youtu.be/nQ__vzO-aU8</t>
  </si>
  <si>
    <t>15:52</t>
  </si>
  <si>
    <t>https://youtu.be/JS0SRoJXQuw</t>
  </si>
  <si>
    <t>รศ.ภณิดา มาประเสริฐ</t>
  </si>
  <si>
    <t xml:space="preserve"> 1.2.06   เกี่ยวกับอุบาย</t>
  </si>
  <si>
    <t>https://youtu.be/vdtgO8pw-xg</t>
  </si>
  <si>
    <t>16:04</t>
  </si>
  <si>
    <t>https://youtu.be/IJVUfsACbIM</t>
  </si>
  <si>
    <t>อ.สุนทรี งามเลิศ</t>
  </si>
  <si>
    <t xml:space="preserve"> 1.2.07   เกี่ยวกับอารมณ์</t>
  </si>
  <si>
    <t>https://youtu.be/9Pty9jRw2KA</t>
  </si>
  <si>
    <t>14.55</t>
  </si>
  <si>
    <t>https://youtu.be/bt_IMG3avnU</t>
  </si>
  <si>
    <t>อ.สิทธิพล วงษ์ดนตรี</t>
  </si>
  <si>
    <t xml:space="preserve"> 1.2.08   เกี่ยวกับกระแส</t>
  </si>
  <si>
    <t>https://youtu.be/Bp-Re-0OV4M</t>
  </si>
  <si>
    <t>14:12</t>
  </si>
  <si>
    <t>https://youtu.be/_09mlqooc3M</t>
  </si>
  <si>
    <t>ผศ.รุ่งทิพย์ พุ่มดนตรี</t>
  </si>
  <si>
    <t xml:space="preserve"> 1.3.01   การบริกรรม คือนึกพุทโธ ฯลฯ </t>
  </si>
  <si>
    <t>https://youtu.be/2DM0hJFJ-_o</t>
  </si>
  <si>
    <t>14:42</t>
  </si>
  <si>
    <t>https://youtu.be/sbOOlxrki44</t>
  </si>
  <si>
    <t>อ.พีระศักดิ์ ขุนอินทร์</t>
  </si>
  <si>
    <t xml:space="preserve"> 1.3.02   การบริกรรมเป็นเพียงเบื้องต้น</t>
  </si>
  <si>
    <t>https://youtu.be/eva3TV9ivXY</t>
  </si>
  <si>
    <t>14:47</t>
  </si>
  <si>
    <t>https://youtu.be/z4ob_4WoMlA</t>
  </si>
  <si>
    <t>อ.จรูญศรี วันเกิดผล</t>
  </si>
  <si>
    <t xml:space="preserve"> 1.3.03   การบริกรรมเป็นความจำเป็น</t>
  </si>
  <si>
    <t>https://youtu.be/pyh5G7HCIFo</t>
  </si>
  <si>
    <t>15:58</t>
  </si>
  <si>
    <t>https://youtu.be/MdYuNwrmjO4</t>
  </si>
  <si>
    <t>พันตำรวจเอกหญิงภิญญดา ถนอมกล่อม</t>
  </si>
  <si>
    <t xml:space="preserve"> 1.3.04   การไม่บริกรรม กำหนดความหยุด</t>
  </si>
  <si>
    <t>https://youtu.be/a-S8yN8LrFo</t>
  </si>
  <si>
    <t>14:55</t>
  </si>
  <si>
    <t>https://youtu.be/hU7B_EAQQNE</t>
  </si>
  <si>
    <t>อ.อุสา ธีรนิพัทธ์</t>
  </si>
  <si>
    <t xml:space="preserve"> 1.3.05   การผ่อนลมหายใจในขณะกำหนดความหยุด</t>
  </si>
  <si>
    <t>https://youtu.be/dlpztHM46CM</t>
  </si>
  <si>
    <t>14:37</t>
  </si>
  <si>
    <t>https://youtu.be/U48PORHqPJE</t>
  </si>
  <si>
    <t>อ.นริศ พุ่มดนตรี</t>
  </si>
  <si>
    <t xml:space="preserve"> 1.3.06   การบริกรรมเปรียบด้วยเด็กอ่อน</t>
  </si>
  <si>
    <t>https://youtu.be/90wPt27uhRY</t>
  </si>
  <si>
    <t>10:38</t>
  </si>
  <si>
    <t>https://youtu.be/kIW9fCl1smA</t>
  </si>
  <si>
    <t>อ.วรภา องอาจ</t>
  </si>
  <si>
    <t xml:space="preserve"> 1.3.07   การวางจิตขณะบริกรรม</t>
  </si>
  <si>
    <t>https://youtu.be/yGpxWqtBsz4</t>
  </si>
  <si>
    <t>14:33</t>
  </si>
  <si>
    <t>https://youtu.be/j_9UFJb7ARQ</t>
  </si>
  <si>
    <t>อ.รัตติยา นิติพานิช</t>
  </si>
  <si>
    <t xml:space="preserve"> 1.3.08   การวัดผลของการบริกรรม</t>
  </si>
  <si>
    <t>https://youtu.be/8ss4Z8pQMoQ</t>
  </si>
  <si>
    <t>12:41</t>
  </si>
  <si>
    <t>https://youtu.be/71I2oibEBvQ</t>
  </si>
  <si>
    <t>อ.สาธิตา ชูติกาญจน์</t>
  </si>
  <si>
    <t>หยุดเรียน วันคล้ายวันเฉลิมฯ รัชกาลที่ 9  (วันพ่อแห่งชาติ)</t>
  </si>
  <si>
    <t xml:space="preserve"> 1.4.01   ความเจ็บปวด เมื่อย เหนื่อย หิว</t>
  </si>
  <si>
    <t>https://youtu.be/qbCMcBXWpg4</t>
  </si>
  <si>
    <t>13:21</t>
  </si>
  <si>
    <t>https://youtu.be/TYSh3tO586s</t>
  </si>
  <si>
    <t>อ.ประพีร์ บุรี</t>
  </si>
  <si>
    <t xml:space="preserve"> 1.4.02   ความปริวิตก</t>
  </si>
  <si>
    <t>https://youtu.be/aC051-TDORA</t>
  </si>
  <si>
    <t>13:12</t>
  </si>
  <si>
    <t>https://youtu.be/XIcqWdLKSCg</t>
  </si>
  <si>
    <t>ดร.ธเนศ วีระศิริ</t>
  </si>
  <si>
    <t>หยุดเรียน วันรัฐธรรมนูญ</t>
  </si>
  <si>
    <t xml:space="preserve"> 1.4.03   ความกระวนกระวาย</t>
  </si>
  <si>
    <t>https://youtu.be/JfWIXtraNFA</t>
  </si>
  <si>
    <t>13:43</t>
  </si>
  <si>
    <t>https://youtu.be/uNg96_LTBUY</t>
  </si>
  <si>
    <t>ดร.ธีรวัฒนา ภาระมาตย์</t>
  </si>
  <si>
    <t xml:space="preserve"> 1.4.04   ความหงุดหงิด</t>
  </si>
  <si>
    <t>https://youtu.be/h1ENOO4Pe1s</t>
  </si>
  <si>
    <t>15:12</t>
  </si>
  <si>
    <t>https://youtu.be/EOZGI0nqMMo</t>
  </si>
  <si>
    <t>อ.จุไร วรศักดิ์โยธิน</t>
  </si>
  <si>
    <t xml:space="preserve"> 1.4.05   อาการกิริยาเจ็บคันโดยไม่มีเหตุผล</t>
  </si>
  <si>
    <t>https://youtu.be/d1hP4lDc8dQ</t>
  </si>
  <si>
    <t>11:42</t>
  </si>
  <si>
    <t>https://youtu.be/ns6yjsLcxso</t>
  </si>
  <si>
    <t>อ.ปัทมาภรณ์ มิกานนท์</t>
  </si>
  <si>
    <t xml:space="preserve"> กิจกรรมสัมพันธ์ ครั้งที่ 1  </t>
  </si>
  <si>
    <t xml:space="preserve">คำกล่าวเปิดกิจกรรมสัมพันธ์ ครั้งที่ 1 </t>
  </si>
  <si>
    <t>https://youtu.be/625LLtsHaXA</t>
  </si>
  <si>
    <t>เก้ามหามงคล  วัดธรรมมงคล</t>
  </si>
  <si>
    <t>32:21</t>
  </si>
  <si>
    <t>https://youtu.be/b699LdzsQlA</t>
  </si>
  <si>
    <t xml:space="preserve"> 1.4.06   ความลังเลสงสัย</t>
  </si>
  <si>
    <t>https://youtu.be/H9t_ONFyUuQ</t>
  </si>
  <si>
    <t>15:26</t>
  </si>
  <si>
    <t>https://youtu.be/Tyv7h9rqu4Q</t>
  </si>
  <si>
    <t>แพทย์หญิงปณดา อัศวเคนทร์กุล</t>
  </si>
  <si>
    <t xml:space="preserve"> 1.4.07   ความโลภอยากได้เร็ว</t>
  </si>
  <si>
    <t>https://youtu.be/hay-fJ7MIA8</t>
  </si>
  <si>
    <t>https://youtu.be/rE0FXfQCEDI</t>
  </si>
  <si>
    <t>อ.ทรงศิริ จุมพล</t>
  </si>
  <si>
    <t xml:space="preserve"> 2.1.01   ลักษณะของสมาธิ</t>
  </si>
  <si>
    <t>https://youtu.be/99ZC6F5S_34</t>
  </si>
  <si>
    <t>15:49</t>
  </si>
  <si>
    <t>https://youtu.be/kUHJEkjdKwc</t>
  </si>
  <si>
    <t>ผศ.พรทิพย์ รักชาติ</t>
  </si>
  <si>
    <t xml:space="preserve"> 2.1.02   ขั้นตอนของสมาธิ</t>
  </si>
  <si>
    <t>https://youtu.be/Y3RdrgsiSVA</t>
  </si>
  <si>
    <t>https://youtu.be/1YOtfA81qHM</t>
  </si>
  <si>
    <t>อ.วรเดช กล่อมจันทร์</t>
  </si>
  <si>
    <t xml:space="preserve"> 2.1.03   คุณสมบัติของสมาธิ</t>
  </si>
  <si>
    <t>https://youtu.be/qIYl6clE2Nc</t>
  </si>
  <si>
    <t>16:28</t>
  </si>
  <si>
    <t>https://youtu.be/bgrTH1nwJcg</t>
  </si>
  <si>
    <t>อ.สมพร สะราคำ</t>
  </si>
  <si>
    <t xml:space="preserve"> 2.1.04   การวัดผลของสมาธิ</t>
  </si>
  <si>
    <t>https://youtu.be/IH4TpMCWJoU</t>
  </si>
  <si>
    <t>13:24</t>
  </si>
  <si>
    <t>https://youtu.be/hj99idjNrUk</t>
  </si>
  <si>
    <t>อ.อุมาลี อยู่นันท์</t>
  </si>
  <si>
    <t xml:space="preserve"> 2.1.05   ประโยชน์ของสมาธิ</t>
  </si>
  <si>
    <t>https://youtu.be/jpLg_sVBYbM</t>
  </si>
  <si>
    <t>15.40</t>
  </si>
  <si>
    <t>https://youtu.be/oFI5PJXnqgI</t>
  </si>
  <si>
    <t>รศ.กัลยาภรณ์ ปานมะเริง</t>
  </si>
  <si>
    <t xml:space="preserve"> 2.1.06   สมาธิตื้น</t>
  </si>
  <si>
    <t>https://youtu.be/EmlFr2NobcA</t>
  </si>
  <si>
    <t>15:31</t>
  </si>
  <si>
    <t>https://youtu.be/ZUdjYcX2qDI</t>
  </si>
  <si>
    <t>อ.วัชรี วัฒนาสุทธิวงศ์</t>
  </si>
  <si>
    <t xml:space="preserve"> 2.1.07   สมาธิลึก</t>
  </si>
  <si>
    <t>https://youtu.be/_zgPqgxxgn8</t>
  </si>
  <si>
    <t>13:27</t>
  </si>
  <si>
    <t>https://youtu.be/X7-5nZBVSME</t>
  </si>
  <si>
    <t xml:space="preserve"> 2.1.08   อาการของสมาธิ</t>
  </si>
  <si>
    <t>https://youtu.be/tA44TijbMJk</t>
  </si>
  <si>
    <t>https://youtu.be/0C9UHvKPonI</t>
  </si>
  <si>
    <t>อ.จินตนา ล้ำเลิศวิทยา</t>
  </si>
  <si>
    <t>ส. 28 ธ.ค. 67 - พฤ. 2 ม.ค. 68</t>
  </si>
  <si>
    <t>หยุดเรียน เทศกาลวันปีใหม่</t>
  </si>
  <si>
    <t>ศ. 3 ม.ค. - อ. 7 ม.ค. 68</t>
  </si>
  <si>
    <t>หยุดเรียน งานประจำปี สวดลักขี บวชชีหมื่นคน วัดธรรมมงคล</t>
  </si>
  <si>
    <t xml:space="preserve"> 2.1.09   การเพิ่มของสมาธิ</t>
  </si>
  <si>
    <t>https://youtu.be/2LDXDXvRErw</t>
  </si>
  <si>
    <t>16:47</t>
  </si>
  <si>
    <t>https://youtu.be/NaX2ZTK5pEU</t>
  </si>
  <si>
    <t>อ.กรุณา สุบินยัง</t>
  </si>
  <si>
    <t xml:space="preserve"> 2.1.10   หนทางให้สมาธิเสื่อม</t>
  </si>
  <si>
    <t>https://youtu.be/JcuFUsFG_3k</t>
  </si>
  <si>
    <t>16:10</t>
  </si>
  <si>
    <t>https://youtu.be/H0gsJzsRzzI</t>
  </si>
  <si>
    <t>อ.ศิริพร โกมลภิส</t>
  </si>
  <si>
    <t xml:space="preserve"> 2.1.11   อาทิสมานกายกับสมาธิ</t>
  </si>
  <si>
    <t>https://youtu.be/xk1CUX_7xec</t>
  </si>
  <si>
    <t>12:16</t>
  </si>
  <si>
    <t>https://youtu.be/Kj3z_3sNyio</t>
  </si>
  <si>
    <t>อ.เอื้ออารีย์ มาเม้า</t>
  </si>
  <si>
    <t xml:space="preserve"> 2.1.12   สมาธิกับการแสดงฤทธิ์</t>
  </si>
  <si>
    <t>https://youtu.be/O1qx8UaRnyQ</t>
  </si>
  <si>
    <t>13:54</t>
  </si>
  <si>
    <t>https://youtu.be/VG3d8aXifJI</t>
  </si>
  <si>
    <t>รศ.ดร.วรนุช แจ้งสว่าง</t>
  </si>
  <si>
    <t xml:space="preserve"> 2.1.13  สมาธิกับการรักษาโรค</t>
  </si>
  <si>
    <t>https://youtu.be/_18YkNH8L8E</t>
  </si>
  <si>
    <t>15:28</t>
  </si>
  <si>
    <t>https://youtu.be/MCA5uBO1ZY8</t>
  </si>
  <si>
    <t xml:space="preserve"> 2.1.14   สมาธิกับการรวมคณะ</t>
  </si>
  <si>
    <t>https://youtu.be/OzH9peQpFkA</t>
  </si>
  <si>
    <t>15:29</t>
  </si>
  <si>
    <t>https://youtu.be/Mf4sEoLdHug</t>
  </si>
  <si>
    <t>อ.สุชาติ เหลืองสุรสวัสดิ์</t>
  </si>
  <si>
    <t xml:space="preserve"> 2.1.15   สมาธิกับการหลงผิด</t>
  </si>
  <si>
    <t>https://youtu.be/sKPdflt1PCE</t>
  </si>
  <si>
    <t>13:47</t>
  </si>
  <si>
    <t>https://youtu.be/fBwj1nsfFQo</t>
  </si>
  <si>
    <t>ดร.เบญจวรรณ ศรีมารุต</t>
  </si>
  <si>
    <t xml:space="preserve"> 2.1.16   สมาธิกับการควบคุมอารมณ์</t>
  </si>
  <si>
    <t>https://youtu.be/K5gMS6lDfAM</t>
  </si>
  <si>
    <t>https://youtu.be/StVoJij9yQw</t>
  </si>
  <si>
    <t>อ.สรัญญา กนกวลัย</t>
  </si>
  <si>
    <t xml:space="preserve"> 2.1.17   สมาธิกับการงาน</t>
  </si>
  <si>
    <t>https://youtu.be/1nYFA9NdZt8</t>
  </si>
  <si>
    <t>14:01</t>
  </si>
  <si>
    <t>https://youtu.be/k8oHaLu8uHU</t>
  </si>
  <si>
    <t>อ.วนิดา มโนมัยพิบูลย์</t>
  </si>
  <si>
    <t xml:space="preserve"> 2.1.18   สมาธิกับการเรียน</t>
  </si>
  <si>
    <t>https://youtu.be/EgRQOC0TzYo</t>
  </si>
  <si>
    <t>11:47</t>
  </si>
  <si>
    <t>https://youtu.be/OyvaQE9Owhw</t>
  </si>
  <si>
    <t>พ.ต.อ.หญิง ดร.ทิพย์ฆัมพร เกษโกมล</t>
  </si>
  <si>
    <t>การแสดงความรู้สึก</t>
  </si>
  <si>
    <t>ความประทับใจที่มีฯ</t>
  </si>
  <si>
    <t>18:58</t>
  </si>
  <si>
    <t>https://youtu.be/Z5jeZOWgoUE</t>
  </si>
  <si>
    <t>ดร.ศิริธัช โรจนพฤกษ์</t>
  </si>
  <si>
    <t>ห้องกิจกรรมออนไลน์</t>
  </si>
  <si>
    <t>บันทึกบทท้าย เทอม 1</t>
  </si>
  <si>
    <t>30:44</t>
  </si>
  <si>
    <t>https://youtu.be/CaOCxjMFse8</t>
  </si>
  <si>
    <t>ห้องเรียนออนไลน์</t>
  </si>
  <si>
    <t>24 ม.ค.- 29 ม.ค. 68</t>
  </si>
  <si>
    <t>หยุดเตรียมสอบ</t>
  </si>
  <si>
    <t>สอบข้อเขียน/สอบปฏิบัติ</t>
  </si>
  <si>
    <t>60/30</t>
  </si>
  <si>
    <t>31 ม.ค. - 9 ก.พ. 68</t>
  </si>
  <si>
    <t>ปิดเทอม 1</t>
  </si>
  <si>
    <t>หมายเหตุ :</t>
  </si>
  <si>
    <t xml:space="preserve">ในสถานการณ์ปกติ การจัดปฐมนิเทศ, กิจกรรมสัมพันธ์, การแสดงความรู้สึก, ปัจฉิมนิเทศ สามารถจัดได้ที่สาขาและควรเป็นวันหยุดเสาร์-อาทิตย์ </t>
  </si>
  <si>
    <t>ตารางเรียนหลักสูตรวิทันตสาสมาธิ online (เสริมเทอม 1)</t>
  </si>
  <si>
    <t>ส่วนใส่ข้อมูล</t>
  </si>
  <si>
    <t>วันที่</t>
  </si>
  <si>
    <t>ใส่วันที่เป็นคริสตศักราช</t>
  </si>
  <si>
    <t>สาขา</t>
  </si>
  <si>
    <t>ชื่อสาขา</t>
  </si>
  <si>
    <t>อาคารไอทาวเวอร์</t>
  </si>
  <si>
    <t>Link google form บันทึกผลการเรียนของสาขา</t>
  </si>
  <si>
    <t>https://forms.gle/VDZgNpakb9Pxg2n</t>
  </si>
  <si>
    <t>ข้อมูลอ้างอิงณวันที่เลือก</t>
  </si>
  <si>
    <t>เลขหัวข้อ</t>
  </si>
  <si>
    <t>นาที</t>
  </si>
  <si>
    <t>ข้อมูลสำหรับคำนวณ</t>
  </si>
  <si>
    <t>ข้อความ รูปโพสต์ในห้องเตรียมข้อมูลกลาง</t>
  </si>
  <si>
    <t>Download รูป/link</t>
  </si>
  <si>
    <t>preview link</t>
  </si>
  <si>
    <t>หัวข้อวันที่เตรียมข้อมูลโดยสาขา</t>
  </si>
  <si>
    <t>* เวลา 08.00 น. โพสต์</t>
  </si>
  <si>
    <t>08.00</t>
  </si>
  <si>
    <t>ระเบียบปฏิบัติ การเรียนหลักสูตรวิทันตสาสมาธิ (ออนไลน์)
https://youtu.be/NRgY-1rIWtM</t>
  </si>
  <si>
    <t>* เวลา 17.45 น. โพสต์</t>
  </si>
  <si>
    <t>17.45</t>
  </si>
  <si>
    <t>ขอเชิญนักศึกษาเตรียมความพร้อมเข้าสู่บทเรียน</t>
  </si>
  <si>
    <t xml:space="preserve"> สไลด์เรียนประจำวัน</t>
  </si>
  <si>
    <t>เรียนประจำวัน-Slide1.JPG</t>
  </si>
  <si>
    <t>คำเตือน เรื่องการละเมิดลิขสิทธิ์</t>
  </si>
  <si>
    <t>เรียนประจำวัน-Slide2.JPG</t>
  </si>
  <si>
    <t>หัวข้อที่เรียน</t>
  </si>
  <si>
    <t>เพลงอรุณทอแสง
https://youtu.be/_Zsr-xXAcZ8</t>
  </si>
  <si>
    <t>https://youtu.be/_Zsr-xXAcZ8</t>
  </si>
  <si>
    <t>* เวลา 18.00 น. โพสต์</t>
  </si>
  <si>
    <t>เรียนเชิญนักศึกษาเข้าสู่บทเรียน ร่วมบูชาพระรัตนตรัย และกล่าวคำสัตย์ปฏิญาณโดยพร้อมเพรียงกัน
https://youtu.be/ienVuHBQMxQ</t>
  </si>
  <si>
    <t>18.05</t>
  </si>
  <si>
    <t>กราบนมัสการพระอาจารย์</t>
  </si>
  <si>
    <t>เรียนประจำวัน-Slide4.JPG</t>
  </si>
  <si>
    <t>ทบทวนการบรรยาย</t>
  </si>
  <si>
    <t>ประวัติอาจารย์</t>
  </si>
  <si>
    <t>ขอเชิญนักศึกษาทุกท่านปฏิบัติเดินจงกรม เป็นเวลา 30 นาที
https://youtu.be/jHQ_63bROqY</t>
  </si>
  <si>
    <t>32.00</t>
  </si>
  <si>
    <t>ขอเชิญนักศึกษาทุกท่านปฏิบัตินั่งสมาธิ  เป็นเวลา 30 นาที
https://youtu.be/hiZ16DCP1eI</t>
  </si>
  <si>
    <t>33.00</t>
  </si>
  <si>
    <t>ขอเชิญนักศึกษาทุกท่านร่วมบูชาพระรัตนตรัย โดยพร้อมเพรียงกัน
https://youtu.be/viTRlM3Xme4</t>
  </si>
  <si>
    <t>2.00</t>
  </si>
  <si>
    <t>การเรียนครั้งต่อไป</t>
  </si>
  <si>
    <t>00.00</t>
  </si>
  <si>
    <t>ส่งลิงก์ Google form บันทึกผลการเรียน/ การบ้าน/การเรียนเสริม ของสาขา</t>
  </si>
  <si>
    <t>00:00</t>
  </si>
  <si>
    <t>Folder Path</t>
  </si>
  <si>
    <t>หัวข้อ</t>
  </si>
  <si>
    <t>Filename</t>
  </si>
  <si>
    <t>Key</t>
  </si>
  <si>
    <t>รูป</t>
  </si>
  <si>
    <t>Image Link</t>
  </si>
  <si>
    <t>5 สไลด์เรียนประจำวัน (ล่าสุด)</t>
  </si>
  <si>
    <t>เรียนประจำวัน</t>
  </si>
  <si>
    <t>Slide1.JPG</t>
  </si>
  <si>
    <t>https://drive.google.com/file/d/1qEFjPE12L0OST-IfMwE0TqLEAok_Gj_Y/view?usp=drivesdk</t>
  </si>
  <si>
    <t>Slide2.JPG</t>
  </si>
  <si>
    <t>https://drive.google.com/file/d/1fRZwcyO1bupTd_ZP73mlu2IJOa5sl0lO/view?usp=drivesdk</t>
  </si>
  <si>
    <t>Slide3.JPG</t>
  </si>
  <si>
    <t>https://drive.google.com/file/d/1CM_L3MeD8EtenRkSS7A7m9HJ9ahiw95a/view?usp=drivesdk</t>
  </si>
  <si>
    <t>ต้องเปลี่ยนทุกวัน</t>
  </si>
  <si>
    <t>Slide4.JPG</t>
  </si>
  <si>
    <t>https://drive.google.com/file/d/1OJ5AltlO515XLHsEvLzcZqzf5DJzpgmd/view?usp=drivesdk</t>
  </si>
  <si>
    <t>Slide5.JPG</t>
  </si>
  <si>
    <t>https://drive.google.com/file/d/1wWIqRH1hCNEvrHpdUvwkQC8TXbzb6S4z/view?usp=drivesdk</t>
  </si>
  <si>
    <t>Slide6.JPG</t>
  </si>
  <si>
    <t>https://drive.google.com/file/d/15vLqd04idYXVvoz_QT_eKE12MhDkHgaW/view?usp=drivesdk</t>
  </si>
  <si>
    <t>Group</t>
  </si>
  <si>
    <t>/หัวข้อเรียน 1.1/หัวข้อเรียน 1.1.01</t>
  </si>
  <si>
    <t>1.1.01</t>
  </si>
  <si>
    <t>https://drive.google.com/file/d/1abW-oMOXpS3s_4GdVvCOTFNC9K-wfmqT/view?usp=drivesdk</t>
  </si>
  <si>
    <t>https://drive.google.com/file/d/1Z6n4BfaAPY4EUeOnNE-9M4dXMgytcZhw/view?usp=drivesdk</t>
  </si>
  <si>
    <t>https://drive.google.com/file/d/1QWm8i65OZuKFx4So-pEMYfci4t8G4MZU/view?usp=drivesdk</t>
  </si>
  <si>
    <t>/หัวข้อเรียน 1.1/หัวข้อเรียน 1.1.02</t>
  </si>
  <si>
    <t>1.1.02</t>
  </si>
  <si>
    <t>https://drive.google.com/file/d/1hwOl_Hne9f4SQKv4_zRBORIqqccR_SGF/view?usp=drivesdk</t>
  </si>
  <si>
    <t>https://drive.google.com/file/d/1vUtDHU42cfX-JREUwIXFQ14iWmIiZIin/view?usp=drivesdk</t>
  </si>
  <si>
    <t>https://drive.google.com/file/d/1i0En2iEj723IhVjQ-bVITTBpRwReDgL-/view?usp=drivesdk</t>
  </si>
  <si>
    <t>/หัวข้อเรียน 1.1/หัวข้อเรียน 1.1.03</t>
  </si>
  <si>
    <t>1.1.03</t>
  </si>
  <si>
    <t>https://drive.google.com/file/d/1_V7XPkVDbOOoJX_L_Ihu6CEaVxraDsB_/view?usp=drivesdk</t>
  </si>
  <si>
    <t>https://drive.google.com/file/d/1dqVOX3B9DtgFU2e2rNMYRU3uLa7SfqUm/view?usp=drivesdk</t>
  </si>
  <si>
    <t>https://drive.google.com/file/d/1idaBNGmzJpwld9AsQqoiWGBoiYTUWuNi/view?usp=drivesdk</t>
  </si>
  <si>
    <t>/หัวข้อเรียน 1.1/หัวข้อเรียน 1.1.04</t>
  </si>
  <si>
    <t>1.1.04</t>
  </si>
  <si>
    <t>https://drive.google.com/file/d/1ENQKVJibb7I3PT-mu-xXQBM44I9cDu7o/view?usp=drivesdk</t>
  </si>
  <si>
    <t>https://drive.google.com/file/d/107-KMuYq5-sQW_eMlKvFwWrHDpKdMQiT/view?usp=drivesdk</t>
  </si>
  <si>
    <t>https://drive.google.com/file/d/1hDrmWJbFBGK52uMoLJiBTycNxyg62w5Z/view?usp=drivesdk</t>
  </si>
  <si>
    <t>/หัวข้อเรียน 1.1/หัวข้อเรียน 1.1.05</t>
  </si>
  <si>
    <t>1.1.05</t>
  </si>
  <si>
    <t>https://drive.google.com/file/d/1TENNWVUSKo-mqEpFp2QVelaGbOa1Koma/view?usp=drivesdk</t>
  </si>
  <si>
    <t>https://drive.google.com/file/d/15n2lobdWf5vK7JRU5kmK7h5If96YHYGS/view?usp=drivesdk</t>
  </si>
  <si>
    <t>https://drive.google.com/file/d/1zMI_QXDVBmpOUbOEECp3g2Em8KbXU-1v/view?usp=drivesdk</t>
  </si>
  <si>
    <t>/หัวข้อเรียน 1.1/หัวข้อเรียน 1.1.06</t>
  </si>
  <si>
    <t>1.1.06</t>
  </si>
  <si>
    <t>https://drive.google.com/file/d/1j0GyK_JxDKS2r4eeHFjKv91hVFwRdDaO/view?usp=drivesdk</t>
  </si>
  <si>
    <t>https://drive.google.com/file/d/1r3wKIgraBV_9prCGI_hXz2wQHPy1hXcY/view?usp=drivesdk</t>
  </si>
  <si>
    <t>https://drive.google.com/file/d/1VIt2m4XK-UKVbx9cgUzaXSJcqxMEbUaB/view?usp=drivesdk</t>
  </si>
  <si>
    <t>/หัวข้อเรียน 1.2/หัวข้อเรียน 1.2.01</t>
  </si>
  <si>
    <t>1.2.01</t>
  </si>
  <si>
    <t>https://drive.google.com/file/d/1gw7fyIBKY2FgjMLA8IouQSlH3vAkMkHs/view?usp=drivesdk</t>
  </si>
  <si>
    <t>https://drive.google.com/file/d/11SiQpgue7bTguuuF-WXlkRC_KpeN0KU1/view?usp=drivesdk</t>
  </si>
  <si>
    <t>https://drive.google.com/file/d/1evHCxONLKQw6aLhkPB0-DivKVilowsSi/view?usp=drivesdk</t>
  </si>
  <si>
    <t>/หัวข้อเรียน 1.2/หัวข้อเรียน 1.2.02</t>
  </si>
  <si>
    <t>1.2.02</t>
  </si>
  <si>
    <t>https://drive.google.com/file/d/1YaFMVKvL1j0k2cbWH0bT8F47XeG_IDO6/view?usp=drivesdk</t>
  </si>
  <si>
    <t>https://drive.google.com/file/d/1Y6pYY5V8dk1s1D35Lp4zWsamSErcLUa-/view?usp=drivesdk</t>
  </si>
  <si>
    <t>https://drive.google.com/file/d/1W-PkmWZSbnrb5Flrdkor_s9hOY8tjoVX/view?usp=drivesdk</t>
  </si>
  <si>
    <t>/หัวข้อเรียน 1.2/หัวข้อเรียน 1.2.03</t>
  </si>
  <si>
    <t>1.2.03</t>
  </si>
  <si>
    <t>https://drive.google.com/file/d/1Hyn5gQAW8Yi49sTZwNS9VsYwXjTEknRS/view?usp=drivesdk</t>
  </si>
  <si>
    <t>https://drive.google.com/file/d/1L8ygCHxWkxDSXvnUf7v-GkDRY9ddrEbH/view?usp=drivesdk</t>
  </si>
  <si>
    <t>https://drive.google.com/file/d/1280phwRgMfWJew0JHPtP8P_96NTg3l96/view?usp=drivesdk</t>
  </si>
  <si>
    <t>/หัวข้อเรียน 1.2/หัวข้อเรียน 1.2.04</t>
  </si>
  <si>
    <t>1.2.04</t>
  </si>
  <si>
    <t>https://drive.google.com/file/d/1_t_4sKu7gz8VPEPI-dE7X7XQNsfEO8xO/view?usp=drivesdk</t>
  </si>
  <si>
    <t>https://drive.google.com/file/d/1g90aDz0Dqhi8Y7JqaxrvGhqUrl9nqPZY/view?usp=drivesdk</t>
  </si>
  <si>
    <t>https://drive.google.com/file/d/1f9Mhb3VbcH4-mMDAnfBGAdeCwF27LlN6/view?usp=drivesdk</t>
  </si>
  <si>
    <t>/หัวข้อเรียน 1.2/หัวข้อเรียน 1.2.05</t>
  </si>
  <si>
    <t>1.2.05</t>
  </si>
  <si>
    <t>https://drive.google.com/file/d/1hK_0Nkjhv0W1hddAekvbN7yq1BygwT2J/view?usp=drivesdk</t>
  </si>
  <si>
    <t>https://drive.google.com/file/d/1zHvpx6ziCGzAOyKb1DDyNDhZy6gCZHvO/view?usp=drivesdk</t>
  </si>
  <si>
    <t>https://drive.google.com/file/d/1r_7KcvWkiSW-ZG5E6MnaaF9N7edlh4Yc/view?usp=drivesdk</t>
  </si>
  <si>
    <t>/หัวข้อเรียน 1.2/หัวข้อเรียน 1.2.06</t>
  </si>
  <si>
    <t>1.2.06</t>
  </si>
  <si>
    <t>https://drive.google.com/file/d/1yfJfIUmBlGK_yR_NBhFyM_oZFgw4Wgzu/view?usp=drivesdk</t>
  </si>
  <si>
    <t>https://drive.google.com/file/d/1Kof2UzE58nKAQAjx78E3zMIQ-tYsB7KY/view?usp=drivesdk</t>
  </si>
  <si>
    <t>https://drive.google.com/file/d/1NtCDabKw2LU6n60S_GCw99YaoW7Iy2fh/view?usp=drivesdk</t>
  </si>
  <si>
    <t>/หัวข้อเรียน 1.2/หัวข้อเรียน 1.2.07</t>
  </si>
  <si>
    <t>1.2.07</t>
  </si>
  <si>
    <t>https://drive.google.com/file/d/16OCsnqFCjiiB9rQnv0CWjyGoblI_NLAW/view?usp=drivesdk</t>
  </si>
  <si>
    <t>https://drive.google.com/file/d/1DeDVL0C0trnB_LJl7qXY_3u8eBgAwX9k/view?usp=drivesdk</t>
  </si>
  <si>
    <t>https://drive.google.com/file/d/1W6lcfo31LWNrS0DQXtRzsRjTYEg-OWu-/view?usp=drivesdk</t>
  </si>
  <si>
    <t>/หัวข้อเรียน 1.2/หัวข้อเรียน 1.2.08</t>
  </si>
  <si>
    <t>1.2.08</t>
  </si>
  <si>
    <t>https://drive.google.com/file/d/1Of_jghn2xmidU4OJ21FmvwLl9lcvVfMm/view?usp=drivesdk</t>
  </si>
  <si>
    <t>https://drive.google.com/file/d/1gMd1q6NA_NMFNxBLAc90STHQWpUeZ6n7/view?usp=drivesdk</t>
  </si>
  <si>
    <t>https://drive.google.com/file/d/1kEQ3-ZyBYOtrrd7yBYyeT8sheJ3z8NnF/view?usp=drivesdk</t>
  </si>
  <si>
    <t>/หัวข้อเรียน 1.3/หัวข้อเรียน 1.3.01</t>
  </si>
  <si>
    <t>1.3.01</t>
  </si>
  <si>
    <t>https://drive.google.com/file/d/19zo0bK6Nf9CMbGZ1QpTq7RaG5J8Cb9kY/view?usp=drivesdk</t>
  </si>
  <si>
    <t>https://drive.google.com/file/d/1nERCLBCm0dh67Lx75MAbI2hq6GckOU3n/view?usp=drivesdk</t>
  </si>
  <si>
    <t>https://drive.google.com/file/d/1w42AlCnIu8syElnwTijoD87Oe6Jg8nnh/view?usp=drivesdk</t>
  </si>
  <si>
    <t>/หัวข้อเรียน 1.3/หัวข้อเรียน 1.3.02</t>
  </si>
  <si>
    <t>1.3.02</t>
  </si>
  <si>
    <t>https://drive.google.com/file/d/1-SFf_Vxj_dX3W19wdXAblR1pqIC-buzr/view?usp=drivesdk</t>
  </si>
  <si>
    <t>https://drive.google.com/file/d/1PEz9CPO90QZKjOsn4n_A-JEtnsjx86Lj/view?usp=drivesdk</t>
  </si>
  <si>
    <t>https://drive.google.com/file/d/1LiSjmeVbZdppUaiDOM_HvtZM_lJFti8P/view?usp=drivesdk</t>
  </si>
  <si>
    <t>/หัวข้อเรียน 1.3/หัวข้อเรียน 1.3.03</t>
  </si>
  <si>
    <t>1.3.03</t>
  </si>
  <si>
    <t>https://drive.google.com/file/d/1EKzZse5TUZw-8iOOWowAbhAaj3eW2fIc/view?usp=drivesdk</t>
  </si>
  <si>
    <t>https://drive.google.com/file/d/1hrXdC95088EjpAOamemWCXvczmeuGcbj/view?usp=drivesdk</t>
  </si>
  <si>
    <t>https://drive.google.com/file/d/1Yq_gB4dlFZn8IBpYngnIQqXLjCTEs5s7/view?usp=drivesdk</t>
  </si>
  <si>
    <t>/หัวข้อเรียน 1.3/หัวข้อเรียน 1.3.04</t>
  </si>
  <si>
    <t>1.3.04</t>
  </si>
  <si>
    <t>https://drive.google.com/file/d/1FSioMssuv4bulIgmaLV6tt5_4tE4X7HO/view?usp=drivesdk</t>
  </si>
  <si>
    <t>https://drive.google.com/file/d/1qvXTRPOJQbq1A8Tnn1eKWnQB0QobJYTc/view?usp=drivesdk</t>
  </si>
  <si>
    <t>https://drive.google.com/file/d/18JW_KWcjtBXpOtSrEjpBPG9UFjkX1MZy/view?usp=drivesdk</t>
  </si>
  <si>
    <t>/หัวข้อเรียน 1.3/หัวข้อเรียน 1.3.05</t>
  </si>
  <si>
    <t>1.3.05</t>
  </si>
  <si>
    <t>https://drive.google.com/file/d/1pXC1tB-3ofDmCL4GY9v8P1ihE9uGkG4m/view?usp=drivesdk</t>
  </si>
  <si>
    <t>https://drive.google.com/file/d/1xsGA-do4-SIH4TdIfgM9SQMGFzG-2D1w/view?usp=drivesdk</t>
  </si>
  <si>
    <t>https://drive.google.com/file/d/1zkfkdoRliDkeUhDjLFiYfBNGRQdeavmg/view?usp=drivesdk</t>
  </si>
  <si>
    <t>/หัวข้อเรียน 1.3/หัวข้อเรียน 1.3.06</t>
  </si>
  <si>
    <t>1.3.06</t>
  </si>
  <si>
    <t>https://drive.google.com/file/d/1ovy3UoRdle02EfyvqS8z16UbxtVk_hYI/view?usp=drivesdk</t>
  </si>
  <si>
    <t>https://drive.google.com/file/d/18DSfDb0UtddEtt0I-nEHUnmj35HRMcQ6/view?usp=drivesdk</t>
  </si>
  <si>
    <t>https://drive.google.com/file/d/17lOyHN0tyCDmw3L6DDvhacbGDmApBww_/view?usp=drivesdk</t>
  </si>
  <si>
    <t>/หัวข้อเรียน 1.3/หัวข้อเรียน 1.3.07</t>
  </si>
  <si>
    <t>1.3.07</t>
  </si>
  <si>
    <t>https://drive.google.com/file/d/1n_qlItDsULGR9l0IafCOn1HLIV0EhldL/view?usp=drivesdk</t>
  </si>
  <si>
    <t>https://drive.google.com/file/d/11-WadQx3nRpztZpOyS9EjaZoYMeVHJBs/view?usp=drivesdk</t>
  </si>
  <si>
    <t>https://drive.google.com/file/d/1UFDkVlQncrBR84XiIKht2aK0qeSincXM/view?usp=drivesdk</t>
  </si>
  <si>
    <t>/หัวข้อเรียน 1.3/หัวข้อเรียน 1.3.08</t>
  </si>
  <si>
    <t>1.3.08</t>
  </si>
  <si>
    <t>https://drive.google.com/file/d/1cau3qS_qBy2kbdpo6OWlw4ufMF3OWwgA/view?usp=drivesdk</t>
  </si>
  <si>
    <t>https://drive.google.com/file/d/1PfPNoDJe1JIXkB_bVwH7oXGTkhE2RlHK/view?usp=drivesdk</t>
  </si>
  <si>
    <t>https://drive.google.com/file/d/1W6RCvVJ3pxxgtqeHg9EDgqrynSGxczAN/view?usp=drivesdk</t>
  </si>
  <si>
    <t>/หัวข้อเรียน 1.4/หัวข้อเรียน 1.4.01</t>
  </si>
  <si>
    <t>1.4.01</t>
  </si>
  <si>
    <t>https://drive.google.com/file/d/1RCkbIH0OwgParAwilipeSAB_nskIUtNo/view?usp=drivesdk</t>
  </si>
  <si>
    <t>https://drive.google.com/file/d/1CZaBkVLcsqQHLTP8FBuuEUfZJODfwHm2/view?usp=drivesdk</t>
  </si>
  <si>
    <t>https://drive.google.com/file/d/1Mvjq36bLYCJDphD7xd9JZTiVmWLNK1m3/view?usp=drivesdk</t>
  </si>
  <si>
    <t>/หัวข้อเรียน 1.4/หัวข้อเรียน 1.4.02</t>
  </si>
  <si>
    <t>1.4.02</t>
  </si>
  <si>
    <t>https://drive.google.com/file/d/1r6OmV3OqV5iva_iKprKCMZu8uLCZ6jMB/view?usp=drivesdk</t>
  </si>
  <si>
    <t>https://drive.google.com/file/d/1Yx_cZkQcKSTXxYu3AXsaMyht92G1B-AR/view?usp=drivesdk</t>
  </si>
  <si>
    <t>https://drive.google.com/file/d/1s4wnk2C8KVpljVI7JZdWVeOtFveb6FtN/view?usp=drivesdk</t>
  </si>
  <si>
    <t>/หัวข้อเรียน 1.4/หัวข้อเรียน 1.4.03</t>
  </si>
  <si>
    <t>1.4.03</t>
  </si>
  <si>
    <t>https://drive.google.com/file/d/1S_0jxr7iAADs4rwmdv43AznLJquq6oFF/view?usp=drivesdk</t>
  </si>
  <si>
    <t>https://drive.google.com/file/d/1eT2z9gQk5fBm5GXE9VBSK3MtxpjhrL5c/view?usp=drivesdk</t>
  </si>
  <si>
    <t>https://drive.google.com/file/d/1pnrtTgDUVQK47su1ZWqE8JrHTpc_Hxrz/view?usp=drivesdk</t>
  </si>
  <si>
    <t>/หัวข้อเรียน 1.4/หัวข้อเรียน 1.4.04</t>
  </si>
  <si>
    <t>1.4.04</t>
  </si>
  <si>
    <t>https://drive.google.com/file/d/1WGmKOWfNyXsNA1xR0p_u03ARiY-O3w7R/view?usp=drivesdk</t>
  </si>
  <si>
    <t>https://drive.google.com/file/d/1va0n0-TontCOr7bFAZMV3zyU5ti_G0G6/view?usp=drivesdk</t>
  </si>
  <si>
    <t>https://drive.google.com/file/d/1xFP7ahn8BRKF2LZxhnnmeRSC9cd_PND9/view?usp=drivesdk</t>
  </si>
  <si>
    <t>/หัวข้อเรียน 1.4/หัวข้อเรียน 1.4.05</t>
  </si>
  <si>
    <t>1.4.05</t>
  </si>
  <si>
    <t>https://drive.google.com/file/d/1WGNQvSP976DKP7_1W-dsE--FCt2XCXLn/view?usp=drivesdk</t>
  </si>
  <si>
    <t>https://drive.google.com/file/d/1aLFT7h1eaHevh1L7S7iccsGGQGVXROeZ/view?usp=drivesdk</t>
  </si>
  <si>
    <t>https://drive.google.com/file/d/1Hq-RhYQEd5LX6Beca4DcRRaymR5neUSz/view?usp=drivesdk</t>
  </si>
  <si>
    <t>/หัวข้อเรียน 1.4/หัวข้อเรียน 1.4.06</t>
  </si>
  <si>
    <t>1.4.06</t>
  </si>
  <si>
    <t>https://drive.google.com/file/d/1Jclb2AHTSYvKgI1b5SbN2EZ3Habr3ruy/view?usp=drivesdk</t>
  </si>
  <si>
    <t>https://drive.google.com/file/d/1Kt_H67TsRATDbPSndyRecPYT5EjjaPCm/view?usp=drivesdk</t>
  </si>
  <si>
    <t>https://drive.google.com/file/d/1V6afMiUU_u20J6Fpr_x_RoT7yK_sz9FD/view?usp=drivesdk</t>
  </si>
  <si>
    <t>/หัวข้อเรียน 1.4/หัวข้อเรียน 1.4.07</t>
  </si>
  <si>
    <t>1.4.07</t>
  </si>
  <si>
    <t>https://drive.google.com/file/d/1yC6jTrNCDaKFOkYOjfF7huD6ZAyrCyvF/view?usp=drivesdk</t>
  </si>
  <si>
    <t>https://drive.google.com/file/d/1WjN1hzx7-pB0wyOLgWsL_9XeshD_s7yS/view?usp=drivesdk</t>
  </si>
  <si>
    <t>https://drive.google.com/file/d/1Rk8GYH3azCfUfXi-yNMUenu0OAe94Ykm/view?usp=drivesdk</t>
  </si>
  <si>
    <t>/หัวข้อเรียน 2.1/หัวข้อเรียน 2.1.01</t>
  </si>
  <si>
    <t>2.1.01</t>
  </si>
  <si>
    <t>https://drive.google.com/file/d/1179ZCoPp7ZFZce9mc35R6V6F4XOv1TZw/view?usp=drivesdk</t>
  </si>
  <si>
    <t>https://drive.google.com/file/d/1FheIyVbzhfZnUD1AVJm56h4ymO5AeEk4/view?usp=drivesdk</t>
  </si>
  <si>
    <t>https://drive.google.com/file/d/1ruL76KrRpdI0PmXrDMIk6JTdggGaRtW3/view?usp=drivesdk</t>
  </si>
  <si>
    <t>/หัวข้อเรียน 2.1/หัวข้อเรียน 2.1.02</t>
  </si>
  <si>
    <t>2.1.02</t>
  </si>
  <si>
    <t>https://drive.google.com/file/d/1BQTSgefllItmlWet0Zm2gglJqza_fGoz/view?usp=drivesdk</t>
  </si>
  <si>
    <t>https://drive.google.com/file/d/1v26HrNoMHkUfENPyaTfOmJkREhITYoM1/view?usp=drivesdk</t>
  </si>
  <si>
    <t>https://drive.google.com/file/d/14fDqeTRXuIDoC8-vziPX726Fll2IDwdu/view?usp=drivesdk</t>
  </si>
  <si>
    <t>/หัวข้อเรียน 2.1/หัวข้อเรียน 2.1.03</t>
  </si>
  <si>
    <t>2.1.03</t>
  </si>
  <si>
    <t>https://drive.google.com/file/d/1DCafZelKvVBUFrg1ZHp3m2SVL5_GTkGK/view?usp=drivesdk</t>
  </si>
  <si>
    <t>https://drive.google.com/file/d/17QtXx257-X_lOjVArzPeabV2snqkYMyG/view?usp=drivesdk</t>
  </si>
  <si>
    <t>https://drive.google.com/file/d/1qMW0jQNkBDXywA-_eved4fGyCCzLs_8o/view?usp=drivesdk</t>
  </si>
  <si>
    <t>/หัวข้อเรียน 2.1/หัวข้อเรียน 2.1.04</t>
  </si>
  <si>
    <t>2.1.04</t>
  </si>
  <si>
    <t>https://drive.google.com/file/d/163seaSFLGN_nIm7tYq4WHb-NAjIv_w2m/view?usp=drivesdk</t>
  </si>
  <si>
    <t>https://drive.google.com/file/d/1l0EgHwWyddbfqIPWH_ZaxCzJ1fRHztc5/view?usp=drivesdk</t>
  </si>
  <si>
    <t>https://drive.google.com/file/d/1AHboHsnSLoi5moB7bttGU7xqHc1d1W-O/view?usp=drivesdk</t>
  </si>
  <si>
    <t>/หัวข้อเรียน 2.1/หัวข้อเรียน 2.1.05</t>
  </si>
  <si>
    <t>2.1.05</t>
  </si>
  <si>
    <t>https://drive.google.com/file/d/1okIbqaMl4ylO1sJ5AfS3PluLPk_i4stD/view?usp=drivesdk</t>
  </si>
  <si>
    <t>https://drive.google.com/file/d/1IBLk3UUblRN4VlLjC4ak4xX9BaejnK3w/view?usp=drivesdk</t>
  </si>
  <si>
    <t>https://drive.google.com/file/d/1B3Oig7g5Bpy84cBWpWNlWAa3UYSdiPBi/view?usp=drivesdk</t>
  </si>
  <si>
    <t>/หัวข้อเรียน 2.1/หัวข้อเรียน 2.1.06</t>
  </si>
  <si>
    <t>2.1.06</t>
  </si>
  <si>
    <t>https://drive.google.com/file/d/1ksDls560Ig7uoyMpXkoWpxVZI8eLarVv/view?usp=drivesdk</t>
  </si>
  <si>
    <t>https://drive.google.com/file/d/1Xh-JKd_sG61a2iYwivjoaYHQiQkoYKNO/view?usp=drivesdk</t>
  </si>
  <si>
    <t>https://drive.google.com/file/d/1CvODjStLs0OLdnnu06ligAxztuXYW_aw/view?usp=drivesdk</t>
  </si>
  <si>
    <t>/หัวข้อเรียน 2.1/หัวข้อเรียน 2.1.07</t>
  </si>
  <si>
    <t>2.1.07</t>
  </si>
  <si>
    <t>https://drive.google.com/file/d/1Z5TFNHDXwjD-tAer9PtPHGihvt-1NDvC/view?usp=drivesdk</t>
  </si>
  <si>
    <t>https://drive.google.com/file/d/1zrjtGp4chHNUIa_ikP9aJoteTFQdfWfU/view?usp=drivesdk</t>
  </si>
  <si>
    <t>https://drive.google.com/file/d/1bHjCmjeKdCtkzjUJ9W0E3yyvIo3sLbOT/view?usp=drivesdk</t>
  </si>
  <si>
    <t>/หัวข้อเรียน 2.1/หัวข้อเรียน 2.1.08</t>
  </si>
  <si>
    <t>2.1.08</t>
  </si>
  <si>
    <t>https://drive.google.com/file/d/1t2xsIJbN8frZjehaCnXwjAbODkhNCsi0/view?usp=drivesdk</t>
  </si>
  <si>
    <t>https://drive.google.com/file/d/15BjS7NNaljaR7mLeSDkA77Znng0irlPT/view?usp=drivesdk</t>
  </si>
  <si>
    <t>https://drive.google.com/file/d/1zohaoMglK4J_S1r5r6_vWLI-ANxq6k7_/view?usp=drivesdk</t>
  </si>
  <si>
    <t>/หัวข้อเรียน 2.1/หัวข้อเรียน 2.1.09</t>
  </si>
  <si>
    <t>2.1.09</t>
  </si>
  <si>
    <t>https://drive.google.com/file/d/1fIVNuva6qKyBesSwLX6-ED-0qg4sK7K9/view?usp=drivesdk</t>
  </si>
  <si>
    <t>https://drive.google.com/file/d/1TIOyT0AoPvv7MpavESEzrh34jov2zWtn/view?usp=drivesdk</t>
  </si>
  <si>
    <t>https://drive.google.com/file/d/1Czkg0JTonuGtwYq8qTufTAzvNPk3FQzM/view?usp=drivesdk</t>
  </si>
  <si>
    <t>/หัวข้อเรียน 2.1/หัวข้อเรียน 2.1.10</t>
  </si>
  <si>
    <t>2.1.10</t>
  </si>
  <si>
    <t>https://drive.google.com/file/d/1vDlOv5AtxK5RmT3zdfYn2P3KBc59V4qw/view?usp=drivesdk</t>
  </si>
  <si>
    <t>https://drive.google.com/file/d/1r_8kCuX7JXbMXZ7BOhcgwDIRFsBYsjne/view?usp=drivesdk</t>
  </si>
  <si>
    <t>https://drive.google.com/file/d/1YN1tIbGJtp5TtulhTmqCW3buILggqVKG/view?usp=drivesdk</t>
  </si>
  <si>
    <t>/หัวข้อเรียน 2.1/หัวข้อเรียน 2.1.11</t>
  </si>
  <si>
    <t>2.1.11</t>
  </si>
  <si>
    <t>https://drive.google.com/file/d/1tDWLE0xrxy1BpSWqaw35qY8LYmmoqSSb/view?usp=drivesdk</t>
  </si>
  <si>
    <t>https://drive.google.com/file/d/1DBBB6EhjrP3zfnSnDyYvEhBmNnkDwFBv/view?usp=drivesdk</t>
  </si>
  <si>
    <t>https://drive.google.com/file/d/1IqZdCOoMsXAwgjtQTJZyIsYMhbnyMtFO/view?usp=drivesdk</t>
  </si>
  <si>
    <t>/หัวข้อเรียน 2.1/หัวข้อเรียน 2.1.12</t>
  </si>
  <si>
    <t>2.1.12</t>
  </si>
  <si>
    <t>https://drive.google.com/file/d/1OqviFpAXMcuiyMynfIzhgGCKnuBcUC9S/view?usp=drivesdk</t>
  </si>
  <si>
    <t>https://drive.google.com/file/d/1DbJewEHZCqJX2XUc-UHzf207KSyF7FCN/view?usp=drivesdk</t>
  </si>
  <si>
    <t>https://drive.google.com/file/d/1QAfxsJP2i_KFM3DkNe48dZVOTPmT0dBK/view?usp=drivesdk</t>
  </si>
  <si>
    <t>/หัวข้อเรียน 2.1/หัวข้อเรียน 2.1.13</t>
  </si>
  <si>
    <t>2.1.13</t>
  </si>
  <si>
    <t>https://drive.google.com/file/d/1wNOYJQnvGu7y49WU8_7HClcF5n1P9FMv/view?usp=drivesdk</t>
  </si>
  <si>
    <t>https://drive.google.com/file/d/1sSaLLJPtkcQGExDoCI9Ky27rAf43qniT/view?usp=drivesdk</t>
  </si>
  <si>
    <t>https://drive.google.com/file/d/1nPfMWN9zehEdG-QZvO5oIprVj7CiyXRl/view?usp=drivesdk</t>
  </si>
  <si>
    <t>/หัวข้อเรียน 2.1/หัวข้อเรียน 2.1.14</t>
  </si>
  <si>
    <t>2.1.14</t>
  </si>
  <si>
    <t>https://drive.google.com/file/d/1n9fI9EVq8bQ2J1TgzBHHp8PGpaQ2aLHf/view?usp=drivesdk</t>
  </si>
  <si>
    <t>https://drive.google.com/file/d/1XNosnzSOpPrUD6edgenHLwuGNVm_yb0K/view?usp=drivesdk</t>
  </si>
  <si>
    <t>https://drive.google.com/file/d/1JhyCipoK86IgoiP05ajXM_t7AG-umUQ6/view?usp=drivesdk</t>
  </si>
  <si>
    <t>/หัวข้อเรียน 2.1/หัวข้อเรียน 2.1.15</t>
  </si>
  <si>
    <t>2.1.15</t>
  </si>
  <si>
    <t>https://drive.google.com/file/d/1ec2z2y4VNDwDyUb8R04rLIoWLfzn9NU4/view?usp=drivesdk</t>
  </si>
  <si>
    <t>https://drive.google.com/file/d/1ohBk4aiZL2OkfcSuD-DYPmAaNMr60xwO/view?usp=drivesdk</t>
  </si>
  <si>
    <t>https://drive.google.com/file/d/1dPyiVsY0rfvJLoKkcJxEJ4pQ4hgGYLKM/view?usp=drivesdk</t>
  </si>
  <si>
    <t>/หัวข้อเรียน 2.1/หัวข้อเรียน 2.1.16</t>
  </si>
  <si>
    <t>2.1.16</t>
  </si>
  <si>
    <t>https://drive.google.com/file/d/1KeZmftALIlLivuYaborCIfWN8_ITayJn/view?usp=drivesdk</t>
  </si>
  <si>
    <t>https://drive.google.com/file/d/1e8bz4wrdjkYryvvzD7orr-eHGf5t-bzp/view?usp=drivesdk</t>
  </si>
  <si>
    <t>https://drive.google.com/file/d/1r-rqj0sajBQ0mtjLOXou8-7mp8tn7CuN/view?usp=drivesdk</t>
  </si>
  <si>
    <t>/หัวข้อเรียน 2.1/หัวข้อเรียน 2.1.17</t>
  </si>
  <si>
    <t>2.1.17</t>
  </si>
  <si>
    <t>https://drive.google.com/file/d/1kQxLZZq7SGyI_0IykcucwA2mXU99SDkB/view?usp=drivesdk</t>
  </si>
  <si>
    <t>https://drive.google.com/file/d/12nbpg1XJaIb86hrU4StyB_k1t50OfM9W/view?usp=drivesdk</t>
  </si>
  <si>
    <t>https://drive.google.com/file/d/1TYIdtD38pVAp4ZvAkEhW5KFMnNWV2UtZ/view?usp=drivesdk</t>
  </si>
  <si>
    <t>/หัวข้อเรียน 2.1/หัวข้อเรียน 2.1.18</t>
  </si>
  <si>
    <t>2.1.18</t>
  </si>
  <si>
    <t>https://drive.google.com/file/d/12r-S9tNIivO8Ux6KfOylDIq4spu6Mj12/view?usp=drivesdk</t>
  </si>
  <si>
    <t>https://drive.google.com/file/d/1CTLKz5J-xRCl3DWBGGjaRdsh-QxZj9Gd/view?usp=drivesdk</t>
  </si>
  <si>
    <t>https://drive.google.com/file/d/1uyDpXvQ5FP0AStj-OZHXyWjvy5CTu3Sg/view?usp=drivesdk</t>
  </si>
  <si>
    <t>/หัวข้อเรียน 2.2/หัวข้อเรียน 2.2.01</t>
  </si>
  <si>
    <t>2.2.01</t>
  </si>
  <si>
    <t>https://drive.google.com/file/d/1HTUvtRudBr_wmE6bp67mLPKcIL1D7U_9/view?usp=drivesdk</t>
  </si>
  <si>
    <t>https://drive.google.com/file/d/1VV3SiNCpbmcSRp10ujES5uCjAOVe4GVf/view?usp=drivesdk</t>
  </si>
  <si>
    <t>https://drive.google.com/file/d/1atUhQbEI8b2YvHPvNySJymcSRrxXg2uy/view?usp=drivesdk</t>
  </si>
  <si>
    <t>/หัวข้อเรียน 2.2/หัวข้อเรียน 2.2.02</t>
  </si>
  <si>
    <t>2.2.02</t>
  </si>
  <si>
    <t>https://drive.google.com/file/d/1XwkVe4ZWJAbLt5Eqq0m4a21Nshe-u7xt/view?usp=drivesdk</t>
  </si>
  <si>
    <t>https://drive.google.com/file/d/1mf03eHi-c9v3rIzFooweX7KPebAM-psv/view?usp=drivesdk</t>
  </si>
  <si>
    <t>https://drive.google.com/file/d/1_99G4ubPZYvVLy7Ny-GHY73lhxlmvbqw/view?usp=drivesdk</t>
  </si>
  <si>
    <t>/หัวข้อเรียน 2.2/หัวข้อเรียน 2.2.03</t>
  </si>
  <si>
    <t>2.2.03</t>
  </si>
  <si>
    <t>https://drive.google.com/file/d/1xTVgg9Ap9-m23C6AHLBGvU3CkC_qfAFf/view?usp=drivesdk</t>
  </si>
  <si>
    <t>https://drive.google.com/file/d/1dfVdRrtVQw5hKKNPOiEN1n7Lx4GywgmL/view?usp=drivesdk</t>
  </si>
  <si>
    <t>https://drive.google.com/file/d/1uB3jY8yuvYRS076sOOVLi0Na8ms5t5pG/view?usp=drivesdk</t>
  </si>
  <si>
    <t>/หัวข้อเรียน 2.2/หัวข้อเรียน 2.2.04</t>
  </si>
  <si>
    <t>2.2.04</t>
  </si>
  <si>
    <t>https://drive.google.com/file/d/1-P5tVEx1fzTl47FIpjn3nS_wqsLoJRYr/view?usp=drivesdk</t>
  </si>
  <si>
    <t>https://drive.google.com/file/d/1DkkO15Yi7JOS01BSG8FXM-9lwwjfu8aY/view?usp=drivesdk</t>
  </si>
  <si>
    <t>https://drive.google.com/file/d/1GDJKhJON2SthCWeW_IYSkso9PFO3ZgFh/view?usp=drivesdk</t>
  </si>
  <si>
    <t>/หัวข้อเรียน 2.2/หัวข้อเรียน 2.2.05</t>
  </si>
  <si>
    <t>2.2.05</t>
  </si>
  <si>
    <t>https://drive.google.com/file/d/1G5FuJDEPX4YpTPSwIskIvAcdHcKtcY8o/view?usp=drivesdk</t>
  </si>
  <si>
    <t>https://drive.google.com/file/d/1VddpPjGe5fD3gBk1wjc7EYX2Upqm5CzN/view?usp=drivesdk</t>
  </si>
  <si>
    <t>https://drive.google.com/file/d/1AUUGc-gLjEidai2637s-qZeeoBtkEBwl/view?usp=drivesdk</t>
  </si>
  <si>
    <t>/หัวข้อเรียน 2.2/หัวข้อเรียน 2.2.06</t>
  </si>
  <si>
    <t>2.2.06</t>
  </si>
  <si>
    <t>https://drive.google.com/file/d/1U5fn0C5y2UQ_XscEIcx6b_mrUq4u803D/view?usp=drivesdk</t>
  </si>
  <si>
    <t>https://drive.google.com/file/d/1Vjsog0cRNW3f9s8ybfMDqCE6iSnoM5dB/view?usp=drivesdk</t>
  </si>
  <si>
    <t>https://drive.google.com/file/d/1eOsyGH9N24Od1lBLQ_r8zOzFvWe5pyCM/view?usp=drivesdk</t>
  </si>
  <si>
    <t>/หัวข้อเรียน 2.2/หัวข้อเรียน 2.2.07</t>
  </si>
  <si>
    <t>2.2.07</t>
  </si>
  <si>
    <t>https://drive.google.com/file/d/16TEtZtXl4BNN3e1DxFTGyunEuS2p2hWz/view?usp=drivesdk</t>
  </si>
  <si>
    <t>https://drive.google.com/file/d/1F1JhQUuI6YZ3umppffrGuGbsUoPmFalh/view?usp=drivesdk</t>
  </si>
  <si>
    <t>https://drive.google.com/file/d/1CJ48O_r2EZQYbcnyAtA5Nw4yRcXAEl1r/view?usp=drivesdk</t>
  </si>
  <si>
    <t>/หัวข้อเรียน 2.2/หัวข้อเรียน 2.2.08</t>
  </si>
  <si>
    <t>2.2.08</t>
  </si>
  <si>
    <t>https://drive.google.com/file/d/1-4M29xh2xvLWUCm8CDR0VT_xhIoRNCoK/view?usp=drivesdk</t>
  </si>
  <si>
    <t>https://drive.google.com/file/d/1Fl472KPbyeRe_oCQotpmD_YN7SSq2WuK/view?usp=drivesdk</t>
  </si>
  <si>
    <t>https://drive.google.com/file/d/1bXjneIdmWu2HD4BpZz12BiUnmTJ3_36W/view?usp=drivesdk</t>
  </si>
  <si>
    <t>/หัวข้อเรียน 2.2/หัวข้อเรียน 2.2.09</t>
  </si>
  <si>
    <t>2.2.09</t>
  </si>
  <si>
    <t>https://drive.google.com/file/d/1iWhVqmwSHprlp94RKBBd3W7ZoYgCpffa/view?usp=drivesdk</t>
  </si>
  <si>
    <t>https://drive.google.com/file/d/1EA3U8YDaR9SPcsb9TLC84yf37F-fz7TK/view?usp=drivesdk</t>
  </si>
  <si>
    <t>https://drive.google.com/file/d/1U2rSH110IHU8VqBtAdOj0F66KSJFYWp_/view?usp=drivesdk</t>
  </si>
  <si>
    <t>/หัวข้อเรียน 2.2/หัวข้อเรียน 2.2.10</t>
  </si>
  <si>
    <t>2.2.10</t>
  </si>
  <si>
    <t>https://drive.google.com/file/d/196SE0mOoGYoZihQT_zfO6__khog4k9ZJ/view?usp=drivesdk</t>
  </si>
  <si>
    <t>https://drive.google.com/file/d/15nuYSZ9GDocAMHgXQksMYhwbQ4PKAcx_/view?usp=drivesdk</t>
  </si>
  <si>
    <t>https://drive.google.com/file/d/1cdb0HtlFgsxrlBrhW71ewHWQeRSO878U/view?usp=drivesdk</t>
  </si>
  <si>
    <t>/หัวข้อเรียน 2.2/หัวข้อเรียน 2.2.11</t>
  </si>
  <si>
    <t>2.2.11</t>
  </si>
  <si>
    <t>https://drive.google.com/file/d/1YyaCXFslG_LUpLlu955hFxG-32wEzB-c/view?usp=drivesdk</t>
  </si>
  <si>
    <t>https://drive.google.com/file/d/1hJyhm1bbjYmRqpqwBymvaytZfhHulBGK/view?usp=drivesdk</t>
  </si>
  <si>
    <t>https://drive.google.com/file/d/1E7hPMTYsXJJ3OaHCsFR6R5je_57ERbCB/view?usp=drivesdk</t>
  </si>
  <si>
    <t>/หัวข้อเรียน 2.3/หัวข้อเรียน 2.3.01</t>
  </si>
  <si>
    <t>2.3.01</t>
  </si>
  <si>
    <t>https://drive.google.com/file/d/1L4dgiT11TgnTbFzGR78-qxEHfmxNzi2s/view?usp=drivesdk</t>
  </si>
  <si>
    <t>https://drive.google.com/file/d/1Smx6GRF5DirxqRRj85LZt05DjoU5e7Hm/view?usp=drivesdk</t>
  </si>
  <si>
    <t>https://drive.google.com/file/d/1Ed8yyXwGUDIs-NMA59imLFMBHqZJlH9z/view?usp=drivesdk</t>
  </si>
  <si>
    <t>/หัวข้อเรียน 2.3/หัวข้อเรียน 2.3.02</t>
  </si>
  <si>
    <t>2.3.02</t>
  </si>
  <si>
    <t>https://drive.google.com/file/d/1l-792Sf9p5-l-rT40KBvA0zAwrLyW3JT/view?usp=drivesdk</t>
  </si>
  <si>
    <t>https://drive.google.com/file/d/1l_xWrSsEW5tJLiFNODXZTbV7HrToHCB6/view?usp=drivesdk</t>
  </si>
  <si>
    <t>https://drive.google.com/file/d/1dvNpr5QQalLjxALjM8A4BfnLCwSlHHAW/view?usp=drivesdk</t>
  </si>
  <si>
    <t>/หัวข้อเรียน 2.3/หัวข้อเรียน 2.3.03</t>
  </si>
  <si>
    <t>2.3.03</t>
  </si>
  <si>
    <t>https://drive.google.com/file/d/1gtHneZZ6xsA4KHGiQlQf8kAkNhu9LrM5/view?usp=drivesdk</t>
  </si>
  <si>
    <t>https://drive.google.com/file/d/1jV5qpGaziZjdPpMWCgZJhLPwKH2mG6b8/view?usp=drivesdk</t>
  </si>
  <si>
    <t>https://drive.google.com/file/d/1ivZ8fCvoaClUUL_xdPgWyAyD1xR0ySZF/view?usp=drivesdk</t>
  </si>
  <si>
    <t>/หัวข้อเรียน 2.3/หัวข้อเรียน 2.3.04</t>
  </si>
  <si>
    <t>2.3.04</t>
  </si>
  <si>
    <t>https://drive.google.com/file/d/1mlLzsSUXw-vHNxtPNwWJyJhKBWQucRiV/view?usp=drivesdk</t>
  </si>
  <si>
    <t>https://drive.google.com/file/d/1VIBw_IUZKbQrWIpccedbUTaJfxUDJ63s/view?usp=drivesdk</t>
  </si>
  <si>
    <t>https://drive.google.com/file/d/1JKTM6L4Puu2UD5drXQaH3BrCn8QzOldE/view?usp=drivesdk</t>
  </si>
  <si>
    <t>/หัวข้อเรียน 2.3/หัวข้อเรียน 2.3.05</t>
  </si>
  <si>
    <t>2.3.05</t>
  </si>
  <si>
    <t>https://drive.google.com/file/d/1MUrb8gLJZG40t8_qNT5XUz157fxK-v3I/view?usp=drivesdk</t>
  </si>
  <si>
    <t>https://drive.google.com/file/d/1oftW3fv4Qgy1gPwlHxQ5pJA4oQb_GZh8/view?usp=drivesdk</t>
  </si>
  <si>
    <t>https://drive.google.com/file/d/1MQqRcyVg21aWg4ayupESa-ohvmAfiJ8W/view?usp=drivesdk</t>
  </si>
  <si>
    <t>/หัวข้อเรียน 2.3/หัวข้อเรียน 2.3.06</t>
  </si>
  <si>
    <t>2.3.06</t>
  </si>
  <si>
    <t>https://drive.google.com/file/d/11_dPNlt9cNFKOkeDaU-Pr4eXIVDcO3FC/view?usp=drivesdk</t>
  </si>
  <si>
    <t>https://drive.google.com/file/d/17yDu5yUV_i2n3imNVNnuYQKzviBdfrT-/view?usp=drivesdk</t>
  </si>
  <si>
    <t>https://drive.google.com/file/d/1Sd5kc7Tz8Iv06Tq01qZ812fAYzeRgFL9/view?usp=drivesdk</t>
  </si>
  <si>
    <t>/หัวข้อเรียน 2.3/หัวข้อเรียน 2.3.07</t>
  </si>
  <si>
    <t>2.3.07</t>
  </si>
  <si>
    <t>https://drive.google.com/file/d/1sIYxI4fWAIt845ygdcFtbXnr4ZDXJkYk/view?usp=drivesdk</t>
  </si>
  <si>
    <t>https://drive.google.com/file/d/1Dpp1fivQwPATpGgiWCREXa663DLcxyTs/view?usp=drivesdk</t>
  </si>
  <si>
    <t>https://drive.google.com/file/d/10w4404PrHFGx9Ov7AVi6L0XeOwUY57IG/view?usp=drivesdk</t>
  </si>
  <si>
    <t>/หัวข้อเรียน 2.3/หัวข้อเรียน 2.3.08</t>
  </si>
  <si>
    <t>2.3.08</t>
  </si>
  <si>
    <t>https://drive.google.com/file/d/119j8VEipLv7AcOSBijEwYT_0tuSNeyCv/view?usp=drivesdk</t>
  </si>
  <si>
    <t>https://drive.google.com/file/d/1o1xHud9Co4Bedh5zktpQoQD0KknomPmn/view?usp=drivesdk</t>
  </si>
  <si>
    <t>https://drive.google.com/file/d/1Z9IHKqK8tEYqSqXc_13IL-vrZuUaywUN/view?usp=drivesdk</t>
  </si>
  <si>
    <t>/หัวข้อเรียน 3.1/หัวข้อเรียน 3.1.01</t>
  </si>
  <si>
    <t>3.1.01</t>
  </si>
  <si>
    <t>https://drive.google.com/file/d/12FsBGoqrvfc10bjQMU0B9RB40UhnN7ce/view?usp=drivesdk</t>
  </si>
  <si>
    <t>https://drive.google.com/file/d/1KQt4mOfFJ40cD4UW3Dghu4LeFqJwpcgb/view?usp=drivesdk</t>
  </si>
  <si>
    <t>https://drive.google.com/file/d/18T5dDucssCSeIkvflM8QFblpCCBXhdk8/view?usp=drivesdk</t>
  </si>
  <si>
    <t>/หัวข้อเรียน 3.1/หัวข้อเรียน 3.1.02</t>
  </si>
  <si>
    <t>3.1.02</t>
  </si>
  <si>
    <t>https://drive.google.com/file/d/1OpcPJUTS56RprsnP6tn8iV3YGgVS-BpV/view?usp=drivesdk</t>
  </si>
  <si>
    <t>https://drive.google.com/file/d/1l557lp2uLTSnONuil2lCbWdZpqW3UGCi/view?usp=drivesdk</t>
  </si>
  <si>
    <t>https://drive.google.com/file/d/1-G6IhnJBZfTEKNm3vZobuddhdi25HDb3/view?usp=drivesdk</t>
  </si>
  <si>
    <t>/หัวข้อเรียน 3.1/หัวข้อเรียน 3.1.03</t>
  </si>
  <si>
    <t>3.1.03</t>
  </si>
  <si>
    <t>https://drive.google.com/file/d/1Oj7I3ao7FiLyJQ3xrTPSkNwKBIfxb8HH/view?usp=drivesdk</t>
  </si>
  <si>
    <t>https://drive.google.com/file/d/1yF6mB3eUib3TZCXmZQHYXJfrm7O4x2Lb/view?usp=drivesdk</t>
  </si>
  <si>
    <t>https://drive.google.com/file/d/1IeyUzU6ZjaEa56OKSaDdUU2_I7ZRSEJy/view?usp=drivesdk</t>
  </si>
  <si>
    <t>/หัวข้อเรียน 3.1/หัวข้อเรียน 3.1.04</t>
  </si>
  <si>
    <t>3.1.04</t>
  </si>
  <si>
    <t>https://drive.google.com/file/d/1TMc6v5peVH9Lx6Ev60h_eN17iHo42XcM/view?usp=drivesdk</t>
  </si>
  <si>
    <t>https://drive.google.com/file/d/1Lfu27AcopCqdWdHEQxeXH6DtJCvdiwOh/view?usp=drivesdk</t>
  </si>
  <si>
    <t>https://drive.google.com/file/d/1KZ_iXQsJMfQctpuwMY8R09F1usETL5eJ/view?usp=drivesdk</t>
  </si>
  <si>
    <t>/หัวข้อเรียน 3.1/หัวข้อเรียน 3.1.05</t>
  </si>
  <si>
    <t>3.1.05</t>
  </si>
  <si>
    <t>https://drive.google.com/file/d/1lOIo4BDJPTHXhgx4224MnIqvDFAFTGvF/view?usp=drivesdk</t>
  </si>
  <si>
    <t>https://drive.google.com/file/d/1B4N_GqR1kCdUrM9jpznTihT8vomPhxR9/view?usp=drivesdk</t>
  </si>
  <si>
    <t>https://drive.google.com/file/d/18flJNC8n_gXd0dNeXjmBllu1FQjPkn4F/view?usp=drivesdk</t>
  </si>
  <si>
    <t>/หัวข้อเรียน 3.1/หัวข้อเรียน 3.1.06</t>
  </si>
  <si>
    <t>3.1.06</t>
  </si>
  <si>
    <t>https://drive.google.com/file/d/1hbjmh1_bknJPgc-L-H7Ol6u6VN8Ntz-W/view?usp=drivesdk</t>
  </si>
  <si>
    <t>https://drive.google.com/file/d/1EsX9ZNlyLMtARscFBNlpTJJDkEd7UQFf/view?usp=drivesdk</t>
  </si>
  <si>
    <t>https://drive.google.com/file/d/1TUxk9YADjdOqY_hqJFCbyvsF2lXr34sA/view?usp=drivesdk</t>
  </si>
  <si>
    <t>/หัวข้อเรียน 3.1/หัวข้อเรียน 3.1.07</t>
  </si>
  <si>
    <t>3.1.07</t>
  </si>
  <si>
    <t>https://drive.google.com/file/d/1KvW90E3SSrlcebyVLx2mwkzVLt3mnbEh/view?usp=drivesdk</t>
  </si>
  <si>
    <t>https://drive.google.com/file/d/1in6OwY09y3x71nlCDheNzsd0ZBxr7ROs/view?usp=drivesdk</t>
  </si>
  <si>
    <t>https://drive.google.com/file/d/1nc0B8mGseVqYTVy96h0CdkXmydz2b9zh/view?usp=drivesdk</t>
  </si>
  <si>
    <t>/หัวข้อเรียน 3.1/หัวข้อเรียน 3.1.08</t>
  </si>
  <si>
    <t>3.1.08</t>
  </si>
  <si>
    <t>https://drive.google.com/file/d/1ZWGhf1GE7Nz6NPzS16QFFadqePsk8QCB/view?usp=drivesdk</t>
  </si>
  <si>
    <t>https://drive.google.com/file/d/15PdMdp6JIYmMqfpB-DXjyF2AZjoWZykG/view?usp=drivesdk</t>
  </si>
  <si>
    <t>https://drive.google.com/file/d/1Gv5TlH32gFAiMEo4gsdpbTVcimaF_rjJ/view?usp=drivesdk</t>
  </si>
  <si>
    <t>/หัวข้อเรียน 3.1/หัวข้อเรียน 3.1.09</t>
  </si>
  <si>
    <t>3.1.09</t>
  </si>
  <si>
    <t>https://drive.google.com/file/d/1CUT6SIYeYZzbknF17__mUD2Dj2yxfcl7/view?usp=drivesdk</t>
  </si>
  <si>
    <t>https://drive.google.com/file/d/1bcC6biGPwNhr4YZkb14nRma_Zp7wIOdv/view?usp=drivesdk</t>
  </si>
  <si>
    <t>https://drive.google.com/file/d/1qQ-2Keej3eAbXww7-rrzHyWV2Iwvm_WD/view?usp=drivesdk</t>
  </si>
  <si>
    <t>/หัวข้อเรียน 3.1/หัวข้อเรียน 3.1.10</t>
  </si>
  <si>
    <t>3.1.10</t>
  </si>
  <si>
    <t>https://drive.google.com/file/d/1LTP-hnHjGjOdU0rVDSkfW3W8jgAfE_4q/view?usp=drivesdk</t>
  </si>
  <si>
    <t>https://drive.google.com/file/d/1_Dn7bll42-GHL9OMykFWXJBJgyf2FdR3/view?usp=drivesdk</t>
  </si>
  <si>
    <t>https://drive.google.com/file/d/1jGPI3gsssmbGq6kx9PpPfOFmH9bWPy-_/view?usp=drivesdk</t>
  </si>
  <si>
    <t>/หัวข้อเรียน 3.1/หัวข้อเรียน 3.1.11</t>
  </si>
  <si>
    <t>3.1.11</t>
  </si>
  <si>
    <t>https://drive.google.com/file/d/16UpTcSXq7OjYigmfgsTICMpaG-7wdJgS/view?usp=drivesdk</t>
  </si>
  <si>
    <t>https://drive.google.com/file/d/17GsC-BvshlI-ERcKVU3nLCGV0aQ45jkv/view?usp=drivesdk</t>
  </si>
  <si>
    <t>https://drive.google.com/file/d/1S281hJr-HCEI2L-re8QUtCcYlBJqrnWO/view?usp=drivesdk</t>
  </si>
  <si>
    <t>/หัวข้อเรียน 3.1/หัวข้อเรียน 3.1.12</t>
  </si>
  <si>
    <t>3.1.12</t>
  </si>
  <si>
    <t>https://drive.google.com/file/d/1fUz8w1p8Lt6jhkKj_BHksYyxjj1udz1K/view?usp=drivesdk</t>
  </si>
  <si>
    <t>https://drive.google.com/file/d/1km4jprj_7TGuARmZ_N_8cPT5UBdtD3sa/view?usp=drivesdk</t>
  </si>
  <si>
    <t>https://drive.google.com/file/d/122En3X7BIEyYhyJ12Ar4HA76M3EVPkfo/view?usp=drivesdk</t>
  </si>
  <si>
    <t>/หัวข้อเรียน 3.1/หัวข้อเรียน 3.1.13</t>
  </si>
  <si>
    <t>3.1.13</t>
  </si>
  <si>
    <t>https://drive.google.com/file/d/1lXnAx_UUvFdJ3Wt3ebFlGuv_RmzvCKv8/view?usp=drivesdk</t>
  </si>
  <si>
    <t>https://drive.google.com/file/d/1zOyQLQpX45AdR2XdfHMS-mFA7FZv2WX9/view?usp=drivesdk</t>
  </si>
  <si>
    <t>https://drive.google.com/file/d/1pDHkBYfFZJEBrqs4D7XolP-8sFsZtcuR/view?usp=drivesdk</t>
  </si>
  <si>
    <t>/หัวข้อเรียน 3.1/หัวข้อเรียน 3.1.14</t>
  </si>
  <si>
    <t>3.1.14</t>
  </si>
  <si>
    <t>https://drive.google.com/file/d/1s9vUTd6OQMDfUrtJoiy5tiG87k1A56T2/view?usp=drivesdk</t>
  </si>
  <si>
    <t>https://drive.google.com/file/d/1ZQFai0sT3tMaS9PcFOWKAR_M8i9PfDdK/view?usp=drivesdk</t>
  </si>
  <si>
    <t>https://drive.google.com/file/d/1kgweONGGEZWwtN2wKkw7bzAR2JatI7s-/view?usp=drivesdk</t>
  </si>
  <si>
    <t>/หัวข้อเรียน 3.1/หัวข้อเรียน 3.1.15</t>
  </si>
  <si>
    <t>3.1.15</t>
  </si>
  <si>
    <t>https://drive.google.com/file/d/1aOdUbojHaE8bhkW14eHtnvOgfoZr1fW0/view?usp=drivesdk</t>
  </si>
  <si>
    <t>https://drive.google.com/file/d/1kvY10dIPa4cJ1pGfOS_tgrFW9ly1JaWA/view?usp=drivesdk</t>
  </si>
  <si>
    <t>https://drive.google.com/file/d/11jUPYHHBqbp0kjh0ElQ8riEctY3vnesb/view?usp=drivesdk</t>
  </si>
  <si>
    <t>/หัวข้อเรียน 3.1/หัวข้อเรียน 3.1.16</t>
  </si>
  <si>
    <t>3.1.16</t>
  </si>
  <si>
    <t>https://drive.google.com/file/d/1IvlJuxlLyBD0fIv-23W4mVGnZubRMREW/view?usp=drivesdk</t>
  </si>
  <si>
    <t>https://drive.google.com/file/d/1V6rEvKDHFol5GeQD3clu2Dva6dENT2qw/view?usp=drivesdk</t>
  </si>
  <si>
    <t>https://drive.google.com/file/d/1MiUhjL2-AX5qEQfgQhPfykHCe_HYQtA7/view?usp=drivesdk</t>
  </si>
  <si>
    <t>/หัวข้อเรียน 3.1/หัวข้อเรียน 3.1.17</t>
  </si>
  <si>
    <t>3.1.17</t>
  </si>
  <si>
    <t>https://drive.google.com/file/d/17iAo3i7Ece5b7AnAdnv27CmMNo9vBp9h/view?usp=drivesdk</t>
  </si>
  <si>
    <t>https://drive.google.com/file/d/1Gy1KaSbR5yDRevJqJ_GLkKVeH5nE5Fa2/view?usp=drivesdk</t>
  </si>
  <si>
    <t>https://drive.google.com/file/d/1kKQraI2wJk_HFbOtOjLEqLmV83B7892h/view?usp=drivesdk</t>
  </si>
  <si>
    <t>/หัวข้อเรียน 3.1/หัวข้อเรียน 3.1.18</t>
  </si>
  <si>
    <t>3.1.18</t>
  </si>
  <si>
    <t>https://drive.google.com/file/d/112pgWYWeqWOd0QDg9-MuOJ4YIxrJupbV/view?usp=drivesdk</t>
  </si>
  <si>
    <t>https://drive.google.com/file/d/1toWaMR0nYdqWaEFVMorkuX0A1OGL5B2F/view?usp=drivesdk</t>
  </si>
  <si>
    <t>https://drive.google.com/file/d/1Ta1_0yOs0XeGDx3dvoGomg-ReKNzkN91/view?usp=drivesdk</t>
  </si>
  <si>
    <t>/หัวข้อเรียน 3.1/หัวข้อเรียน 3.1.19</t>
  </si>
  <si>
    <t>3.1.19</t>
  </si>
  <si>
    <t>https://drive.google.com/file/d/1OnBD647VS-euoDYFVpD1drbLeyhv0jVi/view?usp=drivesdk</t>
  </si>
  <si>
    <t>https://drive.google.com/file/d/1rfyFLlvUb4L3oqfRbcFLHY489VQPXaeD/view?usp=drivesdk</t>
  </si>
  <si>
    <t>https://drive.google.com/file/d/1tcvWq3PM-UkfS-8ZH6XrvXyyPYKn512-/view?usp=drivesdk</t>
  </si>
  <si>
    <t>/หัวข้อเรียน 3.1/หัวข้อเรียน 3.1.20</t>
  </si>
  <si>
    <t>3.1.20</t>
  </si>
  <si>
    <t>https://drive.google.com/file/d/1--mGKWCH61aleCgrYpm0LwrC4pyMKhMX/view?usp=drivesdk</t>
  </si>
  <si>
    <t>https://drive.google.com/file/d/16IRovo8lqNw1oHuUYYoDLVzv_4MNBwJT/view?usp=drivesdk</t>
  </si>
  <si>
    <t>https://drive.google.com/file/d/1oKIEBBxu_A03O-r6m2gtxYpBnRNAqRbg/view?usp=drivesdk</t>
  </si>
  <si>
    <t>/หัวข้อเรียน 3.2/หัวข้อเรียน 3.2.01</t>
  </si>
  <si>
    <t>3.2.01</t>
  </si>
  <si>
    <t>https://drive.google.com/file/d/12OTjAtOeKlj1suWl--rtuAGndKtrsP7E/view?usp=drivesdk</t>
  </si>
  <si>
    <t>https://drive.google.com/file/d/1wXFv380XChNbsVG8wiKd4KmZkzgxVHWn/view?usp=drivesdk</t>
  </si>
  <si>
    <t>https://drive.google.com/file/d/11HgtNkLaIwZepO1zjKXxhsqvv3TRpjqM/view?usp=drivesdk</t>
  </si>
  <si>
    <t>/หัวข้อเรียน 3.2/หัวข้อเรียน 3.2.02</t>
  </si>
  <si>
    <t>3.2.02</t>
  </si>
  <si>
    <t>https://drive.google.com/file/d/1xiFJBfnCUCIZKyRGc1f3bjNCbQ1UqGM4/view?usp=drivesdk</t>
  </si>
  <si>
    <t>https://drive.google.com/file/d/15C-GJYaYX6eW3EAS8FzkMn2yH8H2ZamS/view?usp=drivesdk</t>
  </si>
  <si>
    <t>https://drive.google.com/file/d/1PMznhFXqrrgEiO07FPJXyxjGFIwYzV6J/view?usp=drivesdk</t>
  </si>
  <si>
    <t>/หัวข้อเรียน 3.2/หัวข้อเรียน 3.2.03</t>
  </si>
  <si>
    <t>3.2.03</t>
  </si>
  <si>
    <t>https://drive.google.com/file/d/1sh8ZodvwqYNrZB4gFxuhyDA6WIXg4AaQ/view?usp=drivesdk</t>
  </si>
  <si>
    <t>https://drive.google.com/file/d/1hLDyvpowUgmpAUOADIptQoOTcuWb0Lyk/view?usp=drivesdk</t>
  </si>
  <si>
    <t>https://drive.google.com/file/d/1rX-qVUpSbDcF67YSosMaqa6Ggclr1GYp/view?usp=drivesdk</t>
  </si>
  <si>
    <t>/หัวข้อเรียน 3.2/หัวข้อเรียน 3.2.04</t>
  </si>
  <si>
    <t>3.2.04</t>
  </si>
  <si>
    <t>https://drive.google.com/file/d/1PQYIIb4p84N3IJA2Gt-es-JspmJqGMWH/view?usp=drivesdk</t>
  </si>
  <si>
    <t>https://drive.google.com/file/d/1bVGdYIkbwcyxPkS9vVhItMq0gz1ujSBG/view?usp=drivesdk</t>
  </si>
  <si>
    <t>https://drive.google.com/file/d/1Pfji7Cs441HGU9QY5hoWimXYVHCkFINE/view?usp=drivesdk</t>
  </si>
  <si>
    <t>/หัวข้อเรียน 3.2/หัวข้อเรียน 3.2.05</t>
  </si>
  <si>
    <t>3.2.05</t>
  </si>
  <si>
    <t>https://drive.google.com/file/d/1vfgM2oAomGiwCM2JtNIgftnSwoMDYapE/view?usp=drivesdk</t>
  </si>
  <si>
    <t>https://drive.google.com/file/d/1d3-Ha6G2Z3GqZOcsS4bslAS09gXse71N/view?usp=drivesdk</t>
  </si>
  <si>
    <t>https://drive.google.com/file/d/1J8dH4OKQ71VRGcWCM5XMO7IVkVXur-U1/view?usp=drivesdk</t>
  </si>
  <si>
    <t>/หัวข้อเรียน 3.2/หัวข้อเรียน 3.2.06</t>
  </si>
  <si>
    <t>3.2.06</t>
  </si>
  <si>
    <t>https://drive.google.com/file/d/1OXHBEhKiFq3LPF0QWC1L_hQn4cIKRC2f/view?usp=drivesdk</t>
  </si>
  <si>
    <t>https://drive.google.com/file/d/1op0dRgsT4QD3AClkEg3opg0hEY4l1_rC/view?usp=drivesdk</t>
  </si>
  <si>
    <t>https://drive.google.com/file/d/1X-V1xfbBjtxjmssu3xh3NQJ2byRkIFNl/view?usp=drivesdk</t>
  </si>
  <si>
    <t>/หัวข้อเรียน 3.2/หัวข้อเรียน 3.2.07</t>
  </si>
  <si>
    <t>3.2.07</t>
  </si>
  <si>
    <t>https://drive.google.com/file/d/1Y0dwZq13kloKEwDNJw1m2XOUdJkLHSli/view?usp=drivesdk</t>
  </si>
  <si>
    <t>https://drive.google.com/file/d/1tjH4HqrEVecgRXcuxmfdpdwX-gjw9Amk/view?usp=drivesdk</t>
  </si>
  <si>
    <t>https://drive.google.com/file/d/1hawsxilrl6Jhcx8Rq6YLcqNB03GgxCPt/view?usp=drivesdk</t>
  </si>
  <si>
    <t>/หัวข้อเรียน 3.2/หัวข้อเรียน 3.2.08</t>
  </si>
  <si>
    <t>3.2.08</t>
  </si>
  <si>
    <t>https://drive.google.com/file/d/1oQIljFO67UpCJgxffxalgK4odnqM6Ct9/view?usp=drivesdk</t>
  </si>
  <si>
    <t>https://drive.google.com/file/d/1870RXifk0mMzI3n2l7-FeQAV4ZZiuvP0/view?usp=drivesdk</t>
  </si>
  <si>
    <t>https://drive.google.com/file/d/1D-CGAcufxhAF9q5LHAfDrvYaYDB8Fc2E/view?usp=drivesdk</t>
  </si>
  <si>
    <t>/หัวข้อเรียน 3.2/หัวข้อเรียน 3.2.09</t>
  </si>
  <si>
    <t>3.2.09</t>
  </si>
  <si>
    <t>https://drive.google.com/file/d/1AM5x_GqybabRLe39l6W8-o_mcPQ9mCj0/view?usp=drivesdk</t>
  </si>
  <si>
    <t>https://drive.google.com/file/d/17-Bj0iQ-YSZjFoyU2U0Byxx6wzfFPUaI/view?usp=drivesdk</t>
  </si>
  <si>
    <t>https://drive.google.com/file/d/1_yBFSp0oX8T3taTI4OCNoiZPcA5qRfV6/view?usp=drivesdk</t>
  </si>
  <si>
    <t>/บันทึกบทท้าย เทอม 1 (เพิ่มลิขสิทธิ์)</t>
  </si>
  <si>
    <t>https://drive.google.com/file/d/1xncsZlSemoASmree2vx3gNI0-e03lKl_/view?usp=drivesdk</t>
  </si>
  <si>
    <t>Slide10.JPG</t>
  </si>
  <si>
    <t>https://drive.google.com/file/d/17p2BpFnM_Lw1AH-vVC3NULZlVu34dAPW/view?usp=drivesdk</t>
  </si>
  <si>
    <t>Slide11.JPG</t>
  </si>
  <si>
    <t>https://drive.google.com/file/d/1cUvwou27LgMj0Cj_makLW1PbHhbhkNfZ/view?usp=drivesdk</t>
  </si>
  <si>
    <t>Slide12.JPG</t>
  </si>
  <si>
    <t>https://drive.google.com/file/d/1FoAuFbiw52ogLQ4cuRXgppCyQdL0nhse/view?usp=drivesdk</t>
  </si>
  <si>
    <t>Slide13.JPG</t>
  </si>
  <si>
    <t>https://drive.google.com/file/d/1cloGOjB1J0n4tMzZpc8tKDR3gsx04_uE/view?usp=drivesdk</t>
  </si>
  <si>
    <t>Slide14.jpg</t>
  </si>
  <si>
    <t>https://drive.google.com/file/d/1k_6A2razrlfqKxwqNYy4i1Z_R7ZJacNL/view?usp=drivesdk</t>
  </si>
  <si>
    <t>Slide15.JPG</t>
  </si>
  <si>
    <t>https://drive.google.com/file/d/1eg1V7rZ-t1LWDz97W60yuw2hX6rb8uir/view?usp=drivesdk</t>
  </si>
  <si>
    <t>Slide16.JPG</t>
  </si>
  <si>
    <t>https://drive.google.com/file/d/1f_yslGCG4xBupHPNWbTV3DzHzJSWi2pE/view?usp=drivesdk</t>
  </si>
  <si>
    <t>Slide17.jpg</t>
  </si>
  <si>
    <t>https://drive.google.com/file/d/1-9_9qObiyUlBhAuuPRCJczREc8_RNH4m/view?usp=drivesdk</t>
  </si>
  <si>
    <t>Slide18.JPG</t>
  </si>
  <si>
    <t>https://drive.google.com/file/d/1_Z_zoNqqdqzDewdH4eivHT5H1JOLUo2C/view?usp=drivesdk</t>
  </si>
  <si>
    <t>Slide19.JPG</t>
  </si>
  <si>
    <t>https://drive.google.com/file/d/1RRqQ08Bwd8EHOe83YcJ09eHKNzeGGfvi/view?usp=drivesdk</t>
  </si>
  <si>
    <t>https://drive.google.com/file/d/1Bi_b22d3pRCQWm-sXxO05p6WZe4uP7-9/view?usp=drivesdk</t>
  </si>
  <si>
    <t>Slide20.JPG</t>
  </si>
  <si>
    <t>https://drive.google.com/file/d/1MciuiQIKFb6JQhJzF1CnfZVqWYqBuriB/view?usp=drivesdk</t>
  </si>
  <si>
    <t>Slide21.JPG</t>
  </si>
  <si>
    <t>https://drive.google.com/file/d/1d19iudfhBphNQ4vYfA52RSahG24Hd6cE/view?usp=drivesdk</t>
  </si>
  <si>
    <t>Slide22.JPG</t>
  </si>
  <si>
    <t>https://drive.google.com/file/d/1WhY2iazt7s9K2cAkZBsPKak_HoAiZsC-/view?usp=drivesdk</t>
  </si>
  <si>
    <t>Slide23.JPG</t>
  </si>
  <si>
    <t>https://drive.google.com/file/d/15sRd4V43D0yb7AsLgOJtuB3g2wr2Er25/view?usp=drivesdk</t>
  </si>
  <si>
    <t>Slide24.JPG</t>
  </si>
  <si>
    <t>https://drive.google.com/file/d/1J-TzWCBTjt35sjh_NuMVsy_rAGwcfRnY/view?usp=drivesdk</t>
  </si>
  <si>
    <t>Slide25.JPG</t>
  </si>
  <si>
    <t>https://drive.google.com/file/d/1dq0FKBP5nkqVdvhozCXZx0k1IAYRRcsk/view?usp=drivesdk</t>
  </si>
  <si>
    <t>Slide26.JPG</t>
  </si>
  <si>
    <t>https://drive.google.com/file/d/1W4lKdmTmW84FdfjOydpqnGqhWYS31eQR/view?usp=drivesdk</t>
  </si>
  <si>
    <t>Slide27.JPG</t>
  </si>
  <si>
    <t>https://drive.google.com/file/d/1Pg0mU-O8Te-FwMSHiYSzmGU7YyYe232J/view?usp=drivesdk</t>
  </si>
  <si>
    <t>Slide28.JPG</t>
  </si>
  <si>
    <t>https://drive.google.com/file/d/1zG7tzFIq-rPePh5HIM5LQlaJER7523vs/view?usp=drivesdk</t>
  </si>
  <si>
    <t>Slide29.JPG</t>
  </si>
  <si>
    <t>https://drive.google.com/file/d/14zhZ-fXRoKPzWdN2JZtrazQPayFJP2D5/view?usp=drivesdk</t>
  </si>
  <si>
    <t>https://drive.google.com/file/d/1x_PbKuukk9vgnvW3nhfKPNnJ6U9k_IxO/view?usp=drivesdk</t>
  </si>
  <si>
    <t>Slide30.JPG</t>
  </si>
  <si>
    <t>https://drive.google.com/file/d/1WP6ejnr7gw4iScz249OSEgekYbrlFxQP/view?usp=drivesdk</t>
  </si>
  <si>
    <t>Slide31.JPG</t>
  </si>
  <si>
    <t>https://drive.google.com/file/d/1LykV0RS5JH3REw2ExdB0Nlz6_x4kMLFy/view?usp=drivesdk</t>
  </si>
  <si>
    <t>Slide32.JPG</t>
  </si>
  <si>
    <t>https://drive.google.com/file/d/1zBUSz5PaLhyPrEDSeCle7UivV721c3az/view?usp=drivesdk</t>
  </si>
  <si>
    <t>https://drive.google.com/file/d/1nWiTWYkGhg6ZDSz64eMZeYzZXk34mLeW/view?usp=drivesdk</t>
  </si>
  <si>
    <t>https://drive.google.com/file/d/1la7Qs2Q8nCqqjvj1XgKjq3e9Gb38LqSP/view?usp=drivesdk</t>
  </si>
  <si>
    <t>https://drive.google.com/file/d/1yKB2Tl8TSt95qyYFH-2o8hLsLSrCIz9M/view?usp=drivesdk</t>
  </si>
  <si>
    <t>Slide7.JPG</t>
  </si>
  <si>
    <t>https://drive.google.com/file/d/1uyocXxkPWd9-2fOTNSO75qGx15nNC38c/view?usp=drivesdk</t>
  </si>
  <si>
    <t>Slide8.JPG</t>
  </si>
  <si>
    <t>https://drive.google.com/file/d/1Oisw-bizd41xtZu9gas4_qUlChGS7_yv/view?usp=drivesdk</t>
  </si>
  <si>
    <t>Slide9.JPG</t>
  </si>
  <si>
    <t>https://drive.google.com/file/d/1092Hy_VNidcXMKswUkTZ4hKMjZ0qNGJT/view?usp=drivesdk</t>
  </si>
  <si>
    <t>key</t>
  </si>
  <si>
    <t>7 สไลด์ประวัติอาจารย์/หัวข้อ 1.1</t>
  </si>
  <si>
    <t>สไลด์ประวัติอาจารย์</t>
  </si>
  <si>
    <t>1.1.00_ดร.บวรศักดิ์ อุวรรณโณ.jpg</t>
  </si>
  <si>
    <t>https://drive.google.com/file/d/1iOFQuug_vDF6Ffs0d-kLITK40CfugfDc/view?usp=drivesdk</t>
  </si>
  <si>
    <t>1.1.01_อ.เรณุกา พันทวีศักดิ์.jpg</t>
  </si>
  <si>
    <t>https://drive.google.com/file/d/1RLQLeQbNTu4IyNUA7svWCIXiOXc3YI8v/view?usp=drivesdk</t>
  </si>
  <si>
    <t>1.1.02_อ.แสงอรุณ วัฒนวงศ์.jpg</t>
  </si>
  <si>
    <t>https://drive.google.com/file/d/1LQzApZp5mUwNlL-hjGyYBe2buXct-39X/view?usp=drivesdk</t>
  </si>
  <si>
    <t>1.1.03_อ.ศรีวิมล ฉัตรจุฑามาส.jpg</t>
  </si>
  <si>
    <t>https://drive.google.com/file/d/1XsNCE7-Wpb1tjkfFimvEvAeLdcWRQpCz/view?usp=drivesdk</t>
  </si>
  <si>
    <t>1.1.04_อ.สิริกร สุขเกษม.jpeg</t>
  </si>
  <si>
    <t>https://drive.google.com/file/d/1hV2Fd_-Wme7DW-2ZYxul86eSeeY85DUG/view?usp=drivesdk</t>
  </si>
  <si>
    <t>1.1.05_รศ.ธิติ รักชาติ.jpg</t>
  </si>
  <si>
    <t>https://drive.google.com/file/d/11PRs3tA1R_qB_gIDHCwswea2vb5wEJ9i/view?usp=drivesdk</t>
  </si>
  <si>
    <t>1.1.06_อ.พรรณี จารุสมบัติ.jpg</t>
  </si>
  <si>
    <t>https://drive.google.com/file/d/1XlKgc68z8dBpUjFn1CiLG5IRQL8KDb0F/view?usp=drivesdk</t>
  </si>
  <si>
    <t>7 สไลด์ประวัติอาจารย์/หัวข้อ 1.2</t>
  </si>
  <si>
    <t>1.2.01_อ.วรรณา ลิ่่มพานิช.jpeg</t>
  </si>
  <si>
    <t>https://drive.google.com/file/d/1yaG809Lyzt_OdF0Iv4lcZmuL7Ow5CHmu/view?usp=drivesdk</t>
  </si>
  <si>
    <t>1.2.02_ดร.ปฐมพงษ์ โพธิ์ประสิทธินันท์.jpeg</t>
  </si>
  <si>
    <t>https://drive.google.com/file/d/1hl1-VUjTp0kK8LIi99ywEgJNdx-b0JXO/view?usp=drivesdk</t>
  </si>
  <si>
    <t>1.2.03_ดร.ดาวน้อย สุทธินิภาพันธ์.jpeg</t>
  </si>
  <si>
    <t>https://drive.google.com/file/d/1WtIbRcAW0ZApJJ0VKjT07CwGhUWz4hJa/view?usp=drivesdk</t>
  </si>
  <si>
    <t>1.2.04_อ.สุดารักษ์ ยิ่งสกุล.jpeg</t>
  </si>
  <si>
    <t>https://drive.google.com/file/d/1ChkS8axMRFC_H9BVchSeSya4JLRhcn81/view?usp=drivesdk</t>
  </si>
  <si>
    <t>1.2.05_รศ.ภณิดา มาประเสริฐ.jpeg</t>
  </si>
  <si>
    <t>https://drive.google.com/file/d/1-S4pk-a10-O_-Buk1njhw_dkupDlu7UX/view?usp=drivesdk</t>
  </si>
  <si>
    <t>1.2.06_อ.สุนทรี งามเลิศ.jpeg</t>
  </si>
  <si>
    <t>https://drive.google.com/file/d/1LjwQxKEvpSVbb5QIUWbmD22zSnD6g_VK/view?usp=drivesdk</t>
  </si>
  <si>
    <t>1.2.07_อ.สิทธิพล วงษ์ดนตรี.jpeg</t>
  </si>
  <si>
    <t>https://drive.google.com/file/d/1kwfJ3wcDua1GDXwJ5DD9yKo6VuiCPBhr/view?usp=drivesdk</t>
  </si>
  <si>
    <t>1.2.08_ผศ.รุ่งทิพย์ พุ่มดนตรี.jpeg</t>
  </si>
  <si>
    <t>https://drive.google.com/file/d/1xm6DvoKLyxGRM3zcvsdmEtPx7V5_Ns--/view?usp=drivesdk</t>
  </si>
  <si>
    <t>7 สไลด์ประวัติอาจารย์/หัวข้อ 1.3</t>
  </si>
  <si>
    <t>1.3.01_อ.พีระศักดิ์ ขุนอินทร์.jpg</t>
  </si>
  <si>
    <t>https://drive.google.com/file/d/1f3jDvL6mNzn0psF3qC9sWYVyE0qLvT7U/view?usp=drivesdk</t>
  </si>
  <si>
    <t>1.3.02_อ.จรูญศรี วันเกิดผล.jpg</t>
  </si>
  <si>
    <t>https://drive.google.com/file/d/1h2TW53TesqzQm9h6Y6799-5jXhBW0_Ja/view?usp=drivesdk</t>
  </si>
  <si>
    <t>1.3.03_พ.ต.อ.หญิง ภิญญดา ถนอมกล่อม.jpg</t>
  </si>
  <si>
    <t>https://drive.google.com/file/d/1pnLQ3BryfyMqF6S9alZKnmzpfu3iKFTm/view?usp=drivesdk</t>
  </si>
  <si>
    <t>1.3.04_อ.อุสา ธีรนิพัทธ์.jpg</t>
  </si>
  <si>
    <t>https://drive.google.com/file/d/1p49UOhR5jPbk6pOrnxv4JXrGcgwjqTKL/view?usp=drivesdk</t>
  </si>
  <si>
    <t>1.3.05_อ.นริศ พุ่มดนตรี.jpg</t>
  </si>
  <si>
    <t>https://drive.google.com/file/d/10reBjkljWV8_idjjvlmDOkDOMJuPJvtO/view?usp=drivesdk</t>
  </si>
  <si>
    <t>1.3.06_อ.วรภา องอาจ.jpg</t>
  </si>
  <si>
    <t>https://drive.google.com/file/d/1Vd3lOv-YhWdiozuKnlHFiu6kIUQpCsI1/view?usp=drivesdk</t>
  </si>
  <si>
    <t>1.3.07_อ.รัตติยา นิติพานิช.jpg</t>
  </si>
  <si>
    <t>https://drive.google.com/file/d/1rWPW5-gCDj7GPTlAnuBd1uqprCGOp2vL/view?usp=drivesdk</t>
  </si>
  <si>
    <t>1.3.08_อ.สาธิตา ชูติกาญจน์.jpg</t>
  </si>
  <si>
    <t>https://drive.google.com/file/d/1LfdCmnmR0z-cBKds34gwSlbARcEdUZp8/view?usp=drivesdk</t>
  </si>
  <si>
    <t>7 สไลด์ประวัติอาจารย์/หัวข้อ 1.4</t>
  </si>
  <si>
    <t>1.4.01_อ.ประพีร์ บุรี.jpg</t>
  </si>
  <si>
    <t>https://drive.google.com/file/d/1YP9UrifeK3SEs0siX-ACdUpn7iERz6tf/view?usp=drivesdk</t>
  </si>
  <si>
    <t>1.4.02_ดร.ธเนศ วีระศิริ.jpg</t>
  </si>
  <si>
    <t>https://drive.google.com/file/d/1Oh0k-DVdKu1IKTku3GNbpik7AeJ9r-96/view?usp=drivesdk</t>
  </si>
  <si>
    <t>1.4.03_ดร.ธีรวัฒนา ภาระมาตย์.jpg</t>
  </si>
  <si>
    <t>https://drive.google.com/file/d/1QFDqp7CyZ5RhcKeXYnRGovG9ZnrldLZH/view?usp=drivesdk</t>
  </si>
  <si>
    <t>1.4.04_อ.จุไร วรศักดิ์โยธิน.jpg</t>
  </si>
  <si>
    <t>https://drive.google.com/file/d/10ePntmhYRxY8nFSqlg4KEmpN-dpMn_lS/view?usp=drivesdk</t>
  </si>
  <si>
    <t>1.4.05_อ.ปัทมาภรณ์ มิกานนท์.jpg</t>
  </si>
  <si>
    <t>https://drive.google.com/file/d/1dmM1Lqqu2WSteChLglJ_fMLCZjr-GVE7/view?usp=drivesdk</t>
  </si>
  <si>
    <t>1.4.06_พญ.ปณดา อัศวเคนทร์กุล.jpg</t>
  </si>
  <si>
    <t>https://drive.google.com/file/d/1XuJocdSScITbEQgO_J0LADJ1Vn1fJcUR/view?usp=drivesdk</t>
  </si>
  <si>
    <t>1.4.07_อ.ทรงศิริ จุมพล.jpg</t>
  </si>
  <si>
    <t>https://drive.google.com/file/d/1U6FhF18sV817MBW3jQ5q8k_BOQ_GFkaO/view?usp=drivesdk</t>
  </si>
  <si>
    <t>7 สไลด์ประวัติอาจารย์/หัวข้อ 2.1</t>
  </si>
  <si>
    <t>2.1.01_ผศ.พรทิพย์ รักชาติ.jpg</t>
  </si>
  <si>
    <t>https://drive.google.com/file/d/1IP7pQ3R9aw_yrFTXy_1-2hOhowivJ92m/view?usp=drivesdk</t>
  </si>
  <si>
    <t>2.1.02_อ.วรเดช กล่อมจันทร์.jpg</t>
  </si>
  <si>
    <t>https://drive.google.com/file/d/1WlCIQ8KCgUYbD7_r_8qj2huo8F-OSQFM/view?usp=drivesdk</t>
  </si>
  <si>
    <t>2.1.03_อ.สมพร สะราคำ.jpg</t>
  </si>
  <si>
    <t>https://drive.google.com/file/d/1dpErMe5CkTkGKhSVPdt8V48dzEwCU8xf/view?usp=drivesdk</t>
  </si>
  <si>
    <t>2.1.04_อ.อุมาลี อยู่นันท์.jpg</t>
  </si>
  <si>
    <t>https://drive.google.com/file/d/14hYspjR2lbjocXhfbA6VxsWsvhSCih-O/view?usp=drivesdk</t>
  </si>
  <si>
    <t>2.1.05_รศ.กัลยาภรณ์ ปานมะเริง.jpg</t>
  </si>
  <si>
    <t>https://drive.google.com/file/d/1V5TRl2nuJtU3spX9q9nQUkwnwuiOQKPx/view?usp=drivesdk</t>
  </si>
  <si>
    <t>2.1.06_อ.วัชรี วัฒนาสุทธิวงศ์.jpg</t>
  </si>
  <si>
    <t>https://drive.google.com/file/d/1AoKG8gXXxMejwd4ikBTepv0ELPumf12u/view?usp=drivesdk</t>
  </si>
  <si>
    <t>2.1.07_อ.วรภา องอาจ.jpg</t>
  </si>
  <si>
    <t>https://drive.google.com/file/d/1xphuPZCKYQAtcDvdYCOZ4DdoU8pqVTkL/view?usp=drivesdk</t>
  </si>
  <si>
    <t>2.1.08_อ.จินตนา ล้ำเลิศวิทยา.jpg</t>
  </si>
  <si>
    <t>https://drive.google.com/file/d/1keZnS84whZF-9lPAsnVXUijAorqAwOms/view?usp=drivesdk</t>
  </si>
  <si>
    <t>2.1.09_อ.กรุณา สุบินยัง.jpg</t>
  </si>
  <si>
    <t>https://drive.google.com/file/d/1DKxO93rdPamvfPeycxrhZt8wfyRFJs7S/view?usp=drivesdk</t>
  </si>
  <si>
    <t>2.1.10_อ.ศิริพร โกมลภิส.jpg</t>
  </si>
  <si>
    <t>https://drive.google.com/file/d/1LdZl0PdE9RIFT3WtW8-fmLuUkkHv2ZcE/view?usp=drivesdk</t>
  </si>
  <si>
    <t>2.1.11_อ.เอื้ออารีย์ มาเม้า.jpg</t>
  </si>
  <si>
    <t>https://drive.google.com/file/d/1qHCDEBvrsrJ6cFBG5einT2i-u8QJYTsa/view?usp=drivesdk</t>
  </si>
  <si>
    <t>2.1.12_ดร.วรนุช แจ้งสว่าง.jpg</t>
  </si>
  <si>
    <t>https://drive.google.com/file/d/1Er_2w8gyHHKGYRkBInYZoJ29dQmm0CvJ/view?usp=drivesdk</t>
  </si>
  <si>
    <t>2.1.13_รศ.ธิติ รักชาติ.jpg</t>
  </si>
  <si>
    <t>https://drive.google.com/file/d/1A3eCkld-lNENYhARTnsPV5gVjURuL9Mv/view?usp=drivesdk</t>
  </si>
  <si>
    <t>2.1.14_อ.สุชาติ เหลืองสุรสวัสดิ์.jpg</t>
  </si>
  <si>
    <t>https://drive.google.com/file/d/1-6c2mOKDoDId017PsFqV6oc2D_aXu7Kl/view?usp=drivesdk</t>
  </si>
  <si>
    <t>2.1.15_ดร.เบญจวรรณ ศรีมารุต.jpg</t>
  </si>
  <si>
    <t>https://drive.google.com/file/d/1M71oMd0BbxWNlAqNzgV29gtbsI2brygi/view?usp=drivesdk</t>
  </si>
  <si>
    <t>2.1.16_อ.สรัญญา กนกวลัย.jpg</t>
  </si>
  <si>
    <t>https://drive.google.com/file/d/1aJHPldPX4Jp_2kqqy7GgYTvWYTMKPc-I/view?usp=drivesdk</t>
  </si>
  <si>
    <t>2.1.17_อ.วนิดา มโนมัยพิบูลย์.jpg</t>
  </si>
  <si>
    <t>https://drive.google.com/file/d/1OVh5onlIKk6GXypoORTaIJ-mrGtna6nj/view?usp=drivesdk</t>
  </si>
  <si>
    <t>2.1.18_พ.ต.อ.หญิง ดร.ทิพย์ฆัมพร เกษโกมล.jpg</t>
  </si>
  <si>
    <t>https://drive.google.com/file/d/1d9e7LwYGLd7c_SmZBy-JwZDv-Nvw_J-t/view?usp=drivesdk</t>
  </si>
  <si>
    <t>7 สไลด์ประวัติอาจารย์/หัวข้อ 2.2</t>
  </si>
  <si>
    <t>2.2.01_อ.อรนุช อินทวงศ์.jpg</t>
  </si>
  <si>
    <t>https://drive.google.com/file/d/1RsOGXQuIoWIrolcZ_maaN5oiXHvqvb9L/view?usp=drivesdk</t>
  </si>
  <si>
    <t>2.2.02_อ.ปัทมาภรณ์ มิกานนท์.jpg</t>
  </si>
  <si>
    <t>https://drive.google.com/file/d/1W3a0XWBS6oUBsi_nG8k6LbhCeB6t5CFw/view?usp=drivesdk</t>
  </si>
  <si>
    <t>2.2.03_อ.สุริชาติ สายทอง.jpg</t>
  </si>
  <si>
    <t>https://drive.google.com/file/d/1CLDVDoaOB99XmH58lJyNg0b_GZfu7IiU/view?usp=drivesdk</t>
  </si>
  <si>
    <t>2.2.04_อ.กฤชญา อัศวเคนทร์กุล.jpg</t>
  </si>
  <si>
    <t>https://drive.google.com/file/d/1aWhIIujTR26MfNWQCKul4404nLV0J1Ul/view?usp=drivesdk</t>
  </si>
  <si>
    <t>2.2.05_อ.วรรณา ลิ่มพานิช.jpg</t>
  </si>
  <si>
    <t>https://drive.google.com/file/d/1cafBhIzMYxbAWWgBhocNg_Hd6Q2tsaqn/view?usp=drivesdk</t>
  </si>
  <si>
    <t>2.2.06_อ.วนิดา มโนมัยพิบูลย์.jpg</t>
  </si>
  <si>
    <t>https://drive.google.com/file/d/1P-J4cIB7RhXMaFUrErw6CNlKM8G1xVcF/view?usp=drivesdk</t>
  </si>
  <si>
    <t>2.2.07_ดร.ดาวน้อย สุทธินิภาพันธ์.jpg</t>
  </si>
  <si>
    <t>https://drive.google.com/file/d/1T-Gc2nle71xhfCTaPI3OD0E18TkoGUF7/view?usp=drivesdk</t>
  </si>
  <si>
    <t>2.2.08_พ.ต.อ.หญิง สุทัย อยู่นุช.jpg</t>
  </si>
  <si>
    <t>https://drive.google.com/file/d/1wu4LWow3I04_PSV3EgbZtX91Z5_r0P2u/view?usp=drivesdk</t>
  </si>
  <si>
    <t>2.2.09_อ.ชลัฐธร อุไรพงษ์ ณ อยุธยา.jpg</t>
  </si>
  <si>
    <t>https://drive.google.com/file/d/1DIQYv9xLtI90uT2xUTzG3MQn7e7DY4M0/view?usp=drivesdk</t>
  </si>
  <si>
    <t>2.2.10_ดร.เบญจวรรณ ศรีมารุต.jpg</t>
  </si>
  <si>
    <t>https://drive.google.com/file/d/1CeIDPbYrJvAgP7x1mGTOkF4SWc-3C_-f/view?usp=drivesdk</t>
  </si>
  <si>
    <t>2.2.11_รศ.กัลยาภรณ์ ปานมะเริง.jpg</t>
  </si>
  <si>
    <t>https://drive.google.com/file/d/1_51DxV8lvPkfx5nO9CdyUV4NAkCfhzlv/view?usp=drivesdk</t>
  </si>
  <si>
    <t>7 สไลด์ประวัติอาจารย์/หัวข้อ 2.3</t>
  </si>
  <si>
    <t>2.3.01_อ.พิมลวรรณ์ ลิ้มปราชญา.jpg</t>
  </si>
  <si>
    <t>https://drive.google.com/file/d/18EECbzFgEMfohzkQasgyyzbJRoOXd8Ov/view?usp=drivesdk</t>
  </si>
  <si>
    <t>2.3.02_อ.ประพีร์ บุรี.jpg</t>
  </si>
  <si>
    <t>https://drive.google.com/file/d/1KJSNWIK3qtFwCczkbwvtcOnHgYLpsB5L/view?usp=drivesdk</t>
  </si>
  <si>
    <t>2.3.03_พ.ต.ท.หญิง สิริพรรณ ศรีนวล.jpg</t>
  </si>
  <si>
    <t>https://drive.google.com/file/d/1hCXeyLDCNMZk_NTyRuKlJ1EKVZFDcDwX/view?usp=drivesdk</t>
  </si>
  <si>
    <t>2.3.04_อ.วรภา องอาจ.jpg</t>
  </si>
  <si>
    <t>https://drive.google.com/file/d/1oCRWwU0Yw3AhjNBFpAYo61PS7jKrOd1_/view?usp=drivesdk</t>
  </si>
  <si>
    <t>2.3.05_อ.พีระศักดิ์ ขุนอินทร์.jpg</t>
  </si>
  <si>
    <t>https://drive.google.com/file/d/1tagQbCILUQ2e4HE60Y85IeW81IlxKQnV/view?usp=drivesdk</t>
  </si>
  <si>
    <t>2.3.06_อ.สาธิตา ชูติกาญจน์.jpg</t>
  </si>
  <si>
    <t>https://drive.google.com/file/d/1LT02eB6HEzpgjexxErZiQPHD8jSgqo4E/view?usp=drivesdk</t>
  </si>
  <si>
    <t>2.3.07_รศ.ภณิดา มาประเสริฐ.jpg</t>
  </si>
  <si>
    <t>https://drive.google.com/file/d/1x-C7L7wu1pU9j_8Ojjer_1xgTKVU1hla/view?usp=drivesdk</t>
  </si>
  <si>
    <t>2.3.08_อ.จินตนา ล้ำเลิศวิทยา.jpg</t>
  </si>
  <si>
    <t>https://drive.google.com/file/d/1cf6W746MpKHImFS6uf3Ra7mwfZoEGpQh/view?usp=drivesdk</t>
  </si>
  <si>
    <t>7 สไลด์ประวัติอาจารย์/หัวข้อ 3.1</t>
  </si>
  <si>
    <t>3.1.01_อ.สุดารักษ์ ยิ่งสกุล.jpg</t>
  </si>
  <si>
    <t>https://drive.google.com/file/d/1tORuOFGje8UmR38pZcCdMg0S5F_LHG23/view?usp=drivesdk</t>
  </si>
  <si>
    <t>3.1.02_ดร.วรุณธร เชื้อบุญมี.jpg</t>
  </si>
  <si>
    <t>https://drive.google.com/file/d/1e6P3rpRzyQWJbX9UyRu8YRgS6z7roH7H/view?usp=drivesdk</t>
  </si>
  <si>
    <t>3.1.03_อ.จิรสุภา จิไธสง.jpg</t>
  </si>
  <si>
    <t>https://drive.google.com/file/d/1f63Dl4Jl6ITe0pK9vREOyntfs7V37epf/view?usp=drivesdk</t>
  </si>
  <si>
    <t>3.1.04_อ.จุไร วรศักดิ์โยธิน.jpg</t>
  </si>
  <si>
    <t>https://drive.google.com/file/d/1LKfImEAhJQQkkh4tyf2ESQbP1wlYqHty/view?usp=drivesdk</t>
  </si>
  <si>
    <t>3.1.05_อ.วรฉัตร เทียนหิรัญ.jpg</t>
  </si>
  <si>
    <t>https://drive.google.com/file/d/1SFu3QfhhsHGyMS4tbjYgfJ_F7GglZ1EO/view?usp=drivesdk</t>
  </si>
  <si>
    <t>3.1.06_อ.พีระศักดิ์ ขุนอินทร์.jpg</t>
  </si>
  <si>
    <t>https://drive.google.com/file/d/1zBjQJgC3UcPwP8_TrEWyNK2vxbCNZqfN/view?usp=drivesdk</t>
  </si>
  <si>
    <t>3.1.07_พล.อ.อ.จิรวัฒน์ มูลศาสตร์.jpg</t>
  </si>
  <si>
    <t>https://drive.google.com/file/d/15Kxk0vdv-LrLDUG0Tj58zNWXUMvfJIqD/view?usp=drivesdk</t>
  </si>
  <si>
    <t>3.1.08_ผศ.ดร.สำเริง ฮินท่าไม้.jpg</t>
  </si>
  <si>
    <t>https://drive.google.com/file/d/1khpc9u9vbFPzmSHe5Xn_onBSyJrHTu4l/view?usp=drivesdk</t>
  </si>
  <si>
    <t>3.1.09_อ.สมพร สะราคำ.jpg</t>
  </si>
  <si>
    <t>https://drive.google.com/file/d/1aU4TkxHYJ-eJwLkDFXXmr4Joz5CrCMdj/view?usp=drivesdk</t>
  </si>
  <si>
    <t>3.1.10_อ.อุสา ธีรนิพัทธ์.jpg</t>
  </si>
  <si>
    <t>https://drive.google.com/file/d/16DyQDoltseVYthDrn3OTGKHd4_usSWiY/view?usp=drivesdk</t>
  </si>
  <si>
    <t>3.1.11_อ.รังสรรค์ จันทร์นฤกุล.jpg</t>
  </si>
  <si>
    <t>https://drive.google.com/file/d/1_xm1ofUApD2xQ_aA4kdGMbWVpL1H8x9i/view?usp=drivesdk</t>
  </si>
  <si>
    <t>3.1.12_อ.ณลัลน์ณัท จิรอนันต์กุล.jpg</t>
  </si>
  <si>
    <t>https://drive.google.com/file/d/1h8lccBupGliGUWvDLhIi4UI4yWAvrNDM/view?usp=drivesdk</t>
  </si>
  <si>
    <t>3.1.13_อ.สิทธิพล วงษ์ดนตรี.jpg</t>
  </si>
  <si>
    <t>https://drive.google.com/file/d/1CHwv70oqRfjJeB3uvdziEmT-KeugV5ag/view?usp=drivesdk</t>
  </si>
  <si>
    <t>3.1.14_ผศ.พรทิพย์ รักชาติ.jpg</t>
  </si>
  <si>
    <t>https://drive.google.com/file/d/1H34aIVjhPu1yQK7VG7l1n3uhMe11A7d2/view?usp=drivesdk</t>
  </si>
  <si>
    <t>3.1.15_อ.พรรณี จารุสมบัติ.jpg</t>
  </si>
  <si>
    <t>https://drive.google.com/file/d/1Qa9vHMGDzbSFAyj_29HiOugK3DSc6wlf/view?usp=drivesdk</t>
  </si>
  <si>
    <t>3.1.16_ผศ.ดร.ประยูร ป้อมสุวรรณ์.jpg</t>
  </si>
  <si>
    <t>https://drive.google.com/file/d/1bOTb8D-Nk-KBJD33Fb-mFW9BTSmIR5ra/view?usp=drivesdk</t>
  </si>
  <si>
    <t>3.1.17_อ.วรภา องอาจ.jpg</t>
  </si>
  <si>
    <t>https://drive.google.com/file/d/1eV6-NdDVPcMxAxqqRcXLe3V8iY6xTcTi/view?usp=drivesdk</t>
  </si>
  <si>
    <t>3.1.18_อ.จันทร์ทิพย์ จิรจตุรพักตร์.jpg</t>
  </si>
  <si>
    <t>https://drive.google.com/file/d/1b_ajxXvamMfJmTysaxN1j8gAqURt8Tvx/view?usp=drivesdk</t>
  </si>
  <si>
    <t>3.1.19_อ.จุไร วรศักดิ์โยธิน.jpg</t>
  </si>
  <si>
    <t>https://drive.google.com/file/d/1cHAjeEqYyUsnggEaYJssTCHigUuWFi3D/view?usp=drivesdk</t>
  </si>
  <si>
    <t>3.1.20_อ.จุไร วรศักดิ์โยธิน.jpg</t>
  </si>
  <si>
    <t>https://drive.google.com/file/d/1YoumFKtloiYjsM9uay5lIwkV4s6IvHrp/view?usp=drivesdk</t>
  </si>
  <si>
    <t>7 สไลด์ประวัติอาจารย์/หัวข้อ 3.2</t>
  </si>
  <si>
    <t>3.2.01_รศ.ภณิดา มาประเสริฐ.jpg</t>
  </si>
  <si>
    <t>https://drive.google.com/file/d/12g_n-yZ9W3KGZPt2UQKpeWtX1uNdID_L/view?usp=drivesdk</t>
  </si>
  <si>
    <t>3.2.02_รศ.ภณิดา มาประเสริฐ.jpg</t>
  </si>
  <si>
    <t>https://drive.google.com/file/d/1dQYByFOrEf1jWHH1CB6Xj3bAOZnkknte/view?usp=drivesdk</t>
  </si>
  <si>
    <t>3.2.03_รศ.ธิติ รักชาติ.jpg</t>
  </si>
  <si>
    <t>https://drive.google.com/file/d/1P7i6SameRp-kVwwPk43IkwQGwAOAavmU/view?usp=drivesdk</t>
  </si>
  <si>
    <t>3.2.04_รศ.ธิติ รักชาติ.jpg</t>
  </si>
  <si>
    <t>https://drive.google.com/file/d/1QBZWRsB7Xc4Z1SRW1o2ygupDIfPtcdrY/view?usp=drivesdk</t>
  </si>
  <si>
    <t>3.2.05_อ.รุ่งทิพย์ วิทิตสกุลวัฒนะ.jpg</t>
  </si>
  <si>
    <t>https://drive.google.com/file/d/12Fm4CT8YinaopLK4p3GiMEhHFhpD7Y4b/view?usp=drivesdk</t>
  </si>
  <si>
    <t>3.2.06_ดร.ดาวน้อย สุทธินิภาพันธ์.jpg</t>
  </si>
  <si>
    <t>https://drive.google.com/file/d/1WWKKg1y4mfJ7YdtaKiEV8i7WoGrb9DCd/view?usp=drivesdk</t>
  </si>
  <si>
    <t>3.2.07_ดร.ดาวน้อย สุทธินิภาพันธ์.jpg</t>
  </si>
  <si>
    <t>https://drive.google.com/file/d/1vGZ3jWu-iYoLc5QI3izlH8RE4kEQP2Jk/view?usp=drivesdk</t>
  </si>
  <si>
    <t>3.2.08_อ.สุนทรี งามเลิศ.jpg</t>
  </si>
  <si>
    <t>https://drive.google.com/file/d/1fuhO8qeFggKUYxSjyj5HroxWT5oYo2uc/view?usp=drivesdk</t>
  </si>
  <si>
    <t>3.2.09_อ.สุนทรี งามเลิศ.jpg</t>
  </si>
  <si>
    <t>https://drive.google.com/file/d/1wcHvxKTQrlu9RYhxZNwfLG8rRBzHrCj-/view?usp=drivesdk</t>
  </si>
  <si>
    <t>7 สไลด์ประวัติอาจารย์/หัวข้อบทท้าย เทอม1-2</t>
  </si>
  <si>
    <t>บันทึกท้ายบท เทอม 2_ดร.ดาวน้อย สุทธินิภาพันธ์.jpg</t>
  </si>
  <si>
    <t>https://drive.google.com/file/d/1KUxU7Lyk3ikYxpcTRmgg6U8DpkeZGB-s/view?usp=drivesdk</t>
  </si>
  <si>
    <t>บันทึกท้ายบท เทอมที่ 1_ดร.ดาวน้อย สุทธินิภาพันธ์.jpg</t>
  </si>
  <si>
    <t>https://drive.google.com/file/d/1YK6TgaMtgu3HC6647RU--glimL-yWPuL/view?usp=drivesdk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</si>
</sst>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41E]ddd\ dd\ mmm\ yy"/>
    <numFmt numFmtId="165" formatCode="d/mm/yyyy"/>
    <numFmt numFmtId="166" formatCode="hh:mm"/>
  </numFmts>
  <fonts count="39">
    <font>
      <sz val="11"/>
      <color theme="1"/>
      <name val="Calibri"/>
      <scheme val="minor"/>
    </font>
    <font>
      <b/>
      <sz val="18"/>
      <color theme="1"/>
      <name val="Sarabun"/>
    </font>
    <font>
      <sz val="11"/>
      <name val="Calibri"/>
    </font>
    <font>
      <sz val="18"/>
      <color theme="1"/>
      <name val="Sarabun"/>
    </font>
    <font>
      <u/>
      <sz val="11"/>
      <color theme="10"/>
      <name val="Calibri"/>
    </font>
    <font>
      <u/>
      <sz val="18"/>
      <color theme="10"/>
      <name val="Sarabun"/>
    </font>
    <font>
      <b/>
      <sz val="20"/>
      <color theme="1"/>
      <name val="Sarabun"/>
    </font>
    <font>
      <sz val="20"/>
      <color theme="1"/>
      <name val="Sarabun"/>
    </font>
    <font>
      <u/>
      <sz val="20"/>
      <color theme="10"/>
      <name val="Sarabun"/>
    </font>
    <font>
      <u/>
      <sz val="20"/>
      <color theme="10"/>
      <name val="Sarabun"/>
    </font>
    <font>
      <sz val="11"/>
      <color theme="1"/>
      <name val="Sarabun"/>
    </font>
    <font>
      <b/>
      <sz val="25"/>
      <color theme="1"/>
      <name val="TH Sarabun PSK"/>
    </font>
    <font>
      <sz val="18"/>
      <color theme="1"/>
      <name val="TH Sarabun PSK"/>
    </font>
    <font>
      <b/>
      <sz val="25"/>
      <color rgb="FFFF0000"/>
      <name val="TH Sarabun PSK"/>
    </font>
    <font>
      <b/>
      <sz val="18"/>
      <color theme="1"/>
      <name val="TH Sarabun PSK"/>
    </font>
    <font>
      <b/>
      <sz val="18"/>
      <color rgb="FF0C0C0C"/>
      <name val="TH Sarabun PSK"/>
    </font>
    <font>
      <u/>
      <sz val="18"/>
      <color theme="10"/>
      <name val="TH Sarabun PSK"/>
    </font>
    <font>
      <u/>
      <sz val="18"/>
      <color rgb="FF0000FF"/>
      <name val="TH Sarabun PSK"/>
    </font>
    <font>
      <b/>
      <sz val="18"/>
      <color rgb="FF000000"/>
      <name val="TH Sarabun PSK"/>
    </font>
    <font>
      <b/>
      <sz val="18"/>
      <color theme="0"/>
      <name val="TH Sarabun PSK"/>
    </font>
    <font>
      <b/>
      <sz val="18"/>
      <color rgb="FFFF0000"/>
      <name val="TH Sarabun PSK"/>
    </font>
    <font>
      <u/>
      <sz val="18"/>
      <color rgb="FF0000FF"/>
      <name val="TH Sarabun PSK"/>
    </font>
    <font>
      <u/>
      <sz val="18"/>
      <color theme="10"/>
      <name val="TH Sarabun PSK"/>
    </font>
    <font>
      <u/>
      <sz val="18"/>
      <color theme="10"/>
      <name val="TH Sarabun PSK"/>
    </font>
    <font>
      <sz val="11"/>
      <color theme="1"/>
      <name val="TH Sarabun PSK"/>
    </font>
    <font>
      <b/>
      <sz val="24"/>
      <color theme="1"/>
      <name val="TH Sarabun PSK"/>
    </font>
    <font>
      <b/>
      <sz val="20"/>
      <color theme="1"/>
      <name val="TH Sarabun PSK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sz val="11"/>
      <color theme="0"/>
      <name val="Calibri"/>
    </font>
    <font>
      <u/>
      <sz val="11"/>
      <color theme="1"/>
      <name val="Calibri"/>
    </font>
    <font>
      <sz val="11"/>
      <color rgb="FFFFC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theme="1"/>
      <name val="Arial"/>
    </font>
    <font>
      <u/>
      <sz val="10"/>
      <color theme="1"/>
      <name val="Arial"/>
    </font>
    <font>
      <u/>
      <sz val="11"/>
      <color theme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B9FFB9"/>
        <bgColor rgb="FFB9FFB9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3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3" fillId="0" borderId="2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10" fillId="0" borderId="0" xfId="0" applyFont="1"/>
    <xf numFmtId="0" fontId="12" fillId="0" borderId="0" xfId="0" applyFont="1"/>
    <xf numFmtId="0" fontId="14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wrapText="1"/>
    </xf>
    <xf numFmtId="0" fontId="14" fillId="9" borderId="4" xfId="0" applyFont="1" applyFill="1" applyBorder="1"/>
    <xf numFmtId="2" fontId="14" fillId="9" borderId="4" xfId="0" applyNumberFormat="1" applyFont="1" applyFill="1" applyBorder="1" applyAlignment="1">
      <alignment horizontal="center" vertical="center"/>
    </xf>
    <xf numFmtId="0" fontId="14" fillId="9" borderId="11" xfId="0" applyFont="1" applyFill="1" applyBorder="1"/>
    <xf numFmtId="2" fontId="14" fillId="9" borderId="11" xfId="0" applyNumberFormat="1" applyFont="1" applyFill="1" applyBorder="1" applyAlignment="1">
      <alignment horizontal="center" vertical="center"/>
    </xf>
    <xf numFmtId="0" fontId="14" fillId="9" borderId="14" xfId="0" applyFont="1" applyFill="1" applyBorder="1"/>
    <xf numFmtId="2" fontId="14" fillId="9" borderId="14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14" fillId="10" borderId="2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/>
    </xf>
    <xf numFmtId="2" fontId="14" fillId="0" borderId="17" xfId="0" applyNumberFormat="1" applyFont="1" applyBorder="1" applyAlignment="1">
      <alignment horizontal="center" vertical="center"/>
    </xf>
    <xf numFmtId="0" fontId="16" fillId="11" borderId="2" xfId="0" applyFont="1" applyFill="1" applyBorder="1"/>
    <xf numFmtId="49" fontId="14" fillId="0" borderId="2" xfId="0" applyNumberFormat="1" applyFont="1" applyBorder="1" applyAlignment="1">
      <alignment horizontal="center"/>
    </xf>
    <xf numFmtId="0" fontId="14" fillId="0" borderId="2" xfId="0" applyFont="1" applyBorder="1"/>
    <xf numFmtId="0" fontId="14" fillId="0" borderId="18" xfId="0" applyFont="1" applyBorder="1" applyAlignment="1">
      <alignment horizontal="center" vertical="center"/>
    </xf>
    <xf numFmtId="0" fontId="14" fillId="10" borderId="2" xfId="0" applyFont="1" applyFill="1" applyBorder="1"/>
    <xf numFmtId="2" fontId="14" fillId="0" borderId="17" xfId="0" applyNumberFormat="1" applyFont="1" applyBorder="1" applyAlignment="1">
      <alignment horizontal="center"/>
    </xf>
    <xf numFmtId="0" fontId="14" fillId="0" borderId="2" xfId="0" applyFont="1" applyBorder="1" applyAlignment="1">
      <alignment wrapText="1"/>
    </xf>
    <xf numFmtId="2" fontId="14" fillId="0" borderId="2" xfId="0" applyNumberFormat="1" applyFont="1" applyBorder="1" applyAlignment="1">
      <alignment horizontal="center"/>
    </xf>
    <xf numFmtId="0" fontId="17" fillId="11" borderId="2" xfId="0" applyFont="1" applyFill="1" applyBorder="1"/>
    <xf numFmtId="0" fontId="14" fillId="0" borderId="18" xfId="0" applyFont="1" applyBorder="1"/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2" fontId="19" fillId="0" borderId="2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wrapText="1"/>
    </xf>
    <xf numFmtId="0" fontId="19" fillId="0" borderId="2" xfId="0" applyFont="1" applyBorder="1" applyAlignment="1">
      <alignment horizontal="left"/>
    </xf>
    <xf numFmtId="0" fontId="14" fillId="0" borderId="13" xfId="0" applyFont="1" applyBorder="1"/>
    <xf numFmtId="0" fontId="14" fillId="0" borderId="2" xfId="0" applyFont="1" applyBorder="1" applyAlignment="1">
      <alignment horizontal="left" vertical="center"/>
    </xf>
    <xf numFmtId="2" fontId="14" fillId="0" borderId="2" xfId="0" applyNumberFormat="1" applyFont="1" applyBorder="1" applyAlignment="1">
      <alignment horizontal="center" vertical="center"/>
    </xf>
    <xf numFmtId="0" fontId="12" fillId="0" borderId="2" xfId="0" applyFont="1" applyBorder="1"/>
    <xf numFmtId="0" fontId="20" fillId="12" borderId="2" xfId="0" applyFont="1" applyFill="1" applyBorder="1" applyAlignment="1">
      <alignment horizontal="center" vertical="center"/>
    </xf>
    <xf numFmtId="164" fontId="20" fillId="12" borderId="2" xfId="0" applyNumberFormat="1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4" fillId="9" borderId="20" xfId="0" applyFont="1" applyFill="1" applyBorder="1"/>
    <xf numFmtId="20" fontId="14" fillId="9" borderId="20" xfId="0" applyNumberFormat="1" applyFont="1" applyFill="1" applyBorder="1" applyAlignment="1">
      <alignment horizontal="center"/>
    </xf>
    <xf numFmtId="0" fontId="21" fillId="9" borderId="14" xfId="0" applyFont="1" applyFill="1" applyBorder="1"/>
    <xf numFmtId="0" fontId="12" fillId="9" borderId="2" xfId="0" applyFont="1" applyFill="1" applyBorder="1"/>
    <xf numFmtId="0" fontId="22" fillId="9" borderId="2" xfId="0" applyFont="1" applyFill="1" applyBorder="1"/>
    <xf numFmtId="2" fontId="14" fillId="10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164" fontId="14" fillId="11" borderId="2" xfId="0" applyNumberFormat="1" applyFon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/>
    </xf>
    <xf numFmtId="2" fontId="14" fillId="11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/>
    </xf>
    <xf numFmtId="49" fontId="14" fillId="11" borderId="2" xfId="0" applyNumberFormat="1" applyFont="1" applyFill="1" applyBorder="1" applyAlignment="1">
      <alignment horizontal="center"/>
    </xf>
    <xf numFmtId="0" fontId="14" fillId="11" borderId="2" xfId="0" applyFont="1" applyFill="1" applyBorder="1" applyAlignment="1">
      <alignment horizontal="left"/>
    </xf>
    <xf numFmtId="0" fontId="23" fillId="0" borderId="0" xfId="0" applyFont="1"/>
    <xf numFmtId="0" fontId="24" fillId="12" borderId="22" xfId="0" applyFont="1" applyFill="1" applyBorder="1"/>
    <xf numFmtId="0" fontId="14" fillId="12" borderId="21" xfId="0" applyFont="1" applyFill="1" applyBorder="1" applyAlignment="1">
      <alignment horizontal="center"/>
    </xf>
    <xf numFmtId="0" fontId="14" fillId="12" borderId="20" xfId="0" applyFont="1" applyFill="1" applyBorder="1"/>
    <xf numFmtId="0" fontId="14" fillId="12" borderId="2" xfId="0" applyFont="1" applyFill="1" applyBorder="1"/>
    <xf numFmtId="164" fontId="14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/>
    </xf>
    <xf numFmtId="2" fontId="14" fillId="8" borderId="2" xfId="0" quotePrefix="1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/>
    </xf>
    <xf numFmtId="0" fontId="20" fillId="0" borderId="0" xfId="0" applyFont="1"/>
    <xf numFmtId="0" fontId="14" fillId="0" borderId="0" xfId="0" applyFont="1"/>
    <xf numFmtId="0" fontId="11" fillId="0" borderId="0" xfId="0" applyFont="1"/>
    <xf numFmtId="0" fontId="24" fillId="0" borderId="0" xfId="0" applyFont="1"/>
    <xf numFmtId="0" fontId="13" fillId="0" borderId="0" xfId="0" applyFont="1"/>
    <xf numFmtId="0" fontId="26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10" borderId="14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wrapText="1"/>
    </xf>
    <xf numFmtId="0" fontId="27" fillId="5" borderId="22" xfId="0" applyFont="1" applyFill="1" applyBorder="1" applyAlignment="1">
      <alignment horizontal="left" vertical="top"/>
    </xf>
    <xf numFmtId="0" fontId="27" fillId="5" borderId="22" xfId="0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2" xfId="0" applyFont="1" applyBorder="1" applyAlignment="1">
      <alignment horizontal="left" vertical="top"/>
    </xf>
    <xf numFmtId="165" fontId="27" fillId="12" borderId="2" xfId="0" applyNumberFormat="1" applyFont="1" applyFill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12" borderId="2" xfId="0" applyFont="1" applyFill="1" applyBorder="1" applyAlignment="1">
      <alignment horizontal="left" vertical="top" wrapText="1"/>
    </xf>
    <xf numFmtId="0" fontId="28" fillId="12" borderId="2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7" fillId="13" borderId="22" xfId="0" applyFont="1" applyFill="1" applyBorder="1" applyAlignment="1">
      <alignment horizontal="left" vertical="top"/>
    </xf>
    <xf numFmtId="0" fontId="30" fillId="13" borderId="22" xfId="0" applyFont="1" applyFill="1" applyBorder="1" applyAlignment="1">
      <alignment horizontal="left" vertical="top" wrapText="1"/>
    </xf>
    <xf numFmtId="0" fontId="31" fillId="13" borderId="22" xfId="0" applyFont="1" applyFill="1" applyBorder="1" applyAlignment="1">
      <alignment horizontal="left" vertical="top" wrapText="1"/>
    </xf>
    <xf numFmtId="0" fontId="27" fillId="13" borderId="2" xfId="0" applyFont="1" applyFill="1" applyBorder="1" applyAlignment="1">
      <alignment horizontal="left" vertical="top"/>
    </xf>
    <xf numFmtId="0" fontId="27" fillId="14" borderId="2" xfId="0" applyFont="1" applyFill="1" applyBorder="1" applyAlignment="1">
      <alignment horizontal="left" vertical="top" wrapText="1"/>
    </xf>
    <xf numFmtId="0" fontId="32" fillId="14" borderId="2" xfId="0" applyFont="1" applyFill="1" applyBorder="1" applyAlignment="1">
      <alignment horizontal="left" vertical="top" wrapText="1"/>
    </xf>
    <xf numFmtId="0" fontId="31" fillId="15" borderId="2" xfId="0" applyFont="1" applyFill="1" applyBorder="1" applyAlignment="1">
      <alignment horizontal="left" vertical="top"/>
    </xf>
    <xf numFmtId="0" fontId="31" fillId="15" borderId="2" xfId="0" applyFont="1" applyFill="1" applyBorder="1" applyAlignment="1">
      <alignment horizontal="left" vertical="top" wrapText="1"/>
    </xf>
    <xf numFmtId="0" fontId="33" fillId="15" borderId="2" xfId="0" applyFont="1" applyFill="1" applyBorder="1" applyAlignment="1">
      <alignment horizontal="left" vertical="top" wrapText="1"/>
    </xf>
    <xf numFmtId="0" fontId="27" fillId="0" borderId="2" xfId="0" applyFont="1" applyBorder="1" applyAlignment="1">
      <alignment horizontal="center" vertical="top"/>
    </xf>
    <xf numFmtId="0" fontId="27" fillId="0" borderId="2" xfId="0" quotePrefix="1" applyFont="1" applyBorder="1" applyAlignment="1">
      <alignment horizontal="left" vertical="top" wrapText="1"/>
    </xf>
    <xf numFmtId="0" fontId="27" fillId="13" borderId="2" xfId="0" applyFont="1" applyFill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166" fontId="27" fillId="0" borderId="2" xfId="0" applyNumberFormat="1" applyFont="1" applyBorder="1" applyAlignment="1">
      <alignment horizontal="left" vertical="top" wrapText="1"/>
    </xf>
    <xf numFmtId="0" fontId="27" fillId="16" borderId="2" xfId="0" applyFont="1" applyFill="1" applyBorder="1" applyAlignment="1">
      <alignment horizontal="left" vertical="top" wrapText="1"/>
    </xf>
    <xf numFmtId="166" fontId="27" fillId="0" borderId="2" xfId="0" quotePrefix="1" applyNumberFormat="1" applyFont="1" applyBorder="1" applyAlignment="1">
      <alignment horizontal="left" vertical="top" wrapText="1"/>
    </xf>
    <xf numFmtId="0" fontId="27" fillId="0" borderId="2" xfId="0" applyFont="1" applyBorder="1"/>
    <xf numFmtId="0" fontId="36" fillId="0" borderId="2" xfId="0" applyFont="1" applyBorder="1" applyAlignment="1">
      <alignment horizontal="left" vertical="top" wrapText="1"/>
    </xf>
    <xf numFmtId="0" fontId="27" fillId="6" borderId="2" xfId="0" applyFont="1" applyFill="1" applyBorder="1" applyAlignment="1">
      <alignment horizontal="left" vertical="top"/>
    </xf>
    <xf numFmtId="0" fontId="36" fillId="6" borderId="2" xfId="0" applyFont="1" applyFill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8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vertical="top"/>
    </xf>
    <xf numFmtId="0" fontId="27" fillId="0" borderId="0" xfId="0" applyFont="1" applyAlignment="1">
      <alignment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9" borderId="5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3" xfId="0" applyFont="1" applyBorder="1"/>
    <xf numFmtId="164" fontId="14" fillId="9" borderId="5" xfId="0" applyNumberFormat="1" applyFont="1" applyFill="1" applyBorder="1" applyAlignment="1">
      <alignment horizontal="center" vertical="center"/>
    </xf>
    <xf numFmtId="164" fontId="14" fillId="9" borderId="6" xfId="0" applyNumberFormat="1" applyFont="1" applyFill="1" applyBorder="1" applyAlignment="1">
      <alignment horizontal="center" vertical="center"/>
    </xf>
    <xf numFmtId="2" fontId="14" fillId="9" borderId="6" xfId="0" applyNumberFormat="1" applyFont="1" applyFill="1" applyBorder="1" applyAlignment="1">
      <alignment horizontal="center" vertical="center" wrapText="1"/>
    </xf>
    <xf numFmtId="0" fontId="20" fillId="12" borderId="17" xfId="0" applyFont="1" applyFill="1" applyBorder="1" applyAlignment="1">
      <alignment horizontal="center"/>
    </xf>
    <xf numFmtId="0" fontId="2" fillId="0" borderId="19" xfId="0" applyFont="1" applyBorder="1"/>
    <xf numFmtId="0" fontId="2" fillId="0" borderId="18" xfId="0" applyFont="1" applyBorder="1"/>
    <xf numFmtId="164" fontId="20" fillId="12" borderId="17" xfId="0" applyNumberFormat="1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5" xfId="0" applyFont="1" applyBorder="1"/>
    <xf numFmtId="0" fontId="2" fillId="0" borderId="16" xfId="0" applyFont="1" applyBorder="1"/>
    <xf numFmtId="164" fontId="14" fillId="9" borderId="1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164" fontId="14" fillId="12" borderId="17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NRgY-1rIWtM" TargetMode="External"/><Relationship Id="rId13" Type="http://schemas.openxmlformats.org/officeDocument/2006/relationships/hyperlink" Target="https://youtu.be/0_DOyGbAPfo" TargetMode="External"/><Relationship Id="rId3" Type="http://schemas.openxmlformats.org/officeDocument/2006/relationships/hyperlink" Target="https://youtu.be/h0RaGmNPCT0" TargetMode="External"/><Relationship Id="rId7" Type="http://schemas.openxmlformats.org/officeDocument/2006/relationships/hyperlink" Target="https://youtu.be/TiNPUIDwuSE" TargetMode="External"/><Relationship Id="rId12" Type="http://schemas.openxmlformats.org/officeDocument/2006/relationships/hyperlink" Target="https://youtu.be/o0B6212q8wo" TargetMode="External"/><Relationship Id="rId2" Type="http://schemas.openxmlformats.org/officeDocument/2006/relationships/hyperlink" Target="https://youtu.be/c29VxS0RgPg" TargetMode="External"/><Relationship Id="rId16" Type="http://schemas.openxmlformats.org/officeDocument/2006/relationships/hyperlink" Target="https://youtu.be/ToLV7T9aZoc" TargetMode="External"/><Relationship Id="rId1" Type="http://schemas.openxmlformats.org/officeDocument/2006/relationships/hyperlink" Target="https://youtu.be/_Zsr-xXAcZ8" TargetMode="External"/><Relationship Id="rId6" Type="http://schemas.openxmlformats.org/officeDocument/2006/relationships/hyperlink" Target="https://youtu.be/hNTNAxVW-5o" TargetMode="External"/><Relationship Id="rId11" Type="http://schemas.openxmlformats.org/officeDocument/2006/relationships/hyperlink" Target="https://sumana.org/clock/?openExternalBrowser=1" TargetMode="External"/><Relationship Id="rId5" Type="http://schemas.openxmlformats.org/officeDocument/2006/relationships/hyperlink" Target="https://youtu.be/w_ljuiBJ8ZU" TargetMode="External"/><Relationship Id="rId15" Type="http://schemas.openxmlformats.org/officeDocument/2006/relationships/hyperlink" Target="https://youtu.be/zQkscnSYO10" TargetMode="External"/><Relationship Id="rId10" Type="http://schemas.openxmlformats.org/officeDocument/2006/relationships/hyperlink" Target="https://youtu.be/hZTUNntTkBY" TargetMode="External"/><Relationship Id="rId4" Type="http://schemas.openxmlformats.org/officeDocument/2006/relationships/hyperlink" Target="https://youtu.be/JFSEwxvw_PA" TargetMode="External"/><Relationship Id="rId9" Type="http://schemas.openxmlformats.org/officeDocument/2006/relationships/hyperlink" Target="https://youtu.be/HbI_l-zx9Sg" TargetMode="External"/><Relationship Id="rId14" Type="http://schemas.openxmlformats.org/officeDocument/2006/relationships/hyperlink" Target="https://youtu.be/AM0o2bywja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jHQ_63bROqY" TargetMode="External"/><Relationship Id="rId2" Type="http://schemas.openxmlformats.org/officeDocument/2006/relationships/hyperlink" Target="https://youtu.be/ienVuHBQMxQ" TargetMode="External"/><Relationship Id="rId1" Type="http://schemas.openxmlformats.org/officeDocument/2006/relationships/hyperlink" Target="https://youtu.be/NRgY-1rIWtM" TargetMode="External"/><Relationship Id="rId5" Type="http://schemas.openxmlformats.org/officeDocument/2006/relationships/hyperlink" Target="https://youtu.be/viTRlM3Xme4" TargetMode="External"/><Relationship Id="rId4" Type="http://schemas.openxmlformats.org/officeDocument/2006/relationships/hyperlink" Target="https://youtu.be/hiZ16DCP1eI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IJVUfsACbIM" TargetMode="External"/><Relationship Id="rId21" Type="http://schemas.openxmlformats.org/officeDocument/2006/relationships/hyperlink" Target="https://youtu.be/1hv8TXyb0h4" TargetMode="External"/><Relationship Id="rId42" Type="http://schemas.openxmlformats.org/officeDocument/2006/relationships/hyperlink" Target="https://youtu.be/kIW9fCl1smA" TargetMode="External"/><Relationship Id="rId47" Type="http://schemas.openxmlformats.org/officeDocument/2006/relationships/hyperlink" Target="https://youtu.be/qbCMcBXWpg4" TargetMode="External"/><Relationship Id="rId63" Type="http://schemas.openxmlformats.org/officeDocument/2006/relationships/hyperlink" Target="https://youtu.be/99ZC6F5S_34" TargetMode="External"/><Relationship Id="rId68" Type="http://schemas.openxmlformats.org/officeDocument/2006/relationships/hyperlink" Target="https://youtu.be/bgrTH1nwJcg" TargetMode="External"/><Relationship Id="rId84" Type="http://schemas.openxmlformats.org/officeDocument/2006/relationships/hyperlink" Target="https://youtu.be/Kj3z_3sNyio" TargetMode="External"/><Relationship Id="rId89" Type="http://schemas.openxmlformats.org/officeDocument/2006/relationships/hyperlink" Target="https://youtu.be/OzH9peQpFkA" TargetMode="External"/><Relationship Id="rId16" Type="http://schemas.openxmlformats.org/officeDocument/2006/relationships/hyperlink" Target="https://youtu.be/DnHVtsJ8xVw" TargetMode="External"/><Relationship Id="rId11" Type="http://schemas.openxmlformats.org/officeDocument/2006/relationships/hyperlink" Target="https://youtu.be/GkvZlqGT1YQ" TargetMode="External"/><Relationship Id="rId32" Type="http://schemas.openxmlformats.org/officeDocument/2006/relationships/hyperlink" Target="https://youtu.be/sbOOlxrki44" TargetMode="External"/><Relationship Id="rId37" Type="http://schemas.openxmlformats.org/officeDocument/2006/relationships/hyperlink" Target="https://youtu.be/a-S8yN8LrFo" TargetMode="External"/><Relationship Id="rId53" Type="http://schemas.openxmlformats.org/officeDocument/2006/relationships/hyperlink" Target="https://youtu.be/h1ENOO4Pe1s" TargetMode="External"/><Relationship Id="rId58" Type="http://schemas.openxmlformats.org/officeDocument/2006/relationships/hyperlink" Target="https://youtu.be/b699LdzsQlA" TargetMode="External"/><Relationship Id="rId74" Type="http://schemas.openxmlformats.org/officeDocument/2006/relationships/hyperlink" Target="https://youtu.be/ZUdjYcX2qDI" TargetMode="External"/><Relationship Id="rId79" Type="http://schemas.openxmlformats.org/officeDocument/2006/relationships/hyperlink" Target="https://youtu.be/2LDXDXvRErw" TargetMode="External"/><Relationship Id="rId5" Type="http://schemas.openxmlformats.org/officeDocument/2006/relationships/hyperlink" Target="https://youtu.be/z4My3WB6hV8" TargetMode="External"/><Relationship Id="rId90" Type="http://schemas.openxmlformats.org/officeDocument/2006/relationships/hyperlink" Target="https://youtu.be/Mf4sEoLdHug" TargetMode="External"/><Relationship Id="rId95" Type="http://schemas.openxmlformats.org/officeDocument/2006/relationships/hyperlink" Target="https://youtu.be/1nYFA9NdZt8" TargetMode="External"/><Relationship Id="rId22" Type="http://schemas.openxmlformats.org/officeDocument/2006/relationships/hyperlink" Target="https://youtu.be/tjOX936dv5s" TargetMode="External"/><Relationship Id="rId27" Type="http://schemas.openxmlformats.org/officeDocument/2006/relationships/hyperlink" Target="https://youtu.be/9Pty9jRw2KA" TargetMode="External"/><Relationship Id="rId43" Type="http://schemas.openxmlformats.org/officeDocument/2006/relationships/hyperlink" Target="https://youtu.be/yGpxWqtBsz4" TargetMode="External"/><Relationship Id="rId48" Type="http://schemas.openxmlformats.org/officeDocument/2006/relationships/hyperlink" Target="https://youtu.be/TYSh3tO586s" TargetMode="External"/><Relationship Id="rId64" Type="http://schemas.openxmlformats.org/officeDocument/2006/relationships/hyperlink" Target="https://youtu.be/kUHJEkjdKwc" TargetMode="External"/><Relationship Id="rId69" Type="http://schemas.openxmlformats.org/officeDocument/2006/relationships/hyperlink" Target="https://youtu.be/IH4TpMCWJoU" TargetMode="External"/><Relationship Id="rId80" Type="http://schemas.openxmlformats.org/officeDocument/2006/relationships/hyperlink" Target="https://youtu.be/NaX2ZTK5pEU" TargetMode="External"/><Relationship Id="rId85" Type="http://schemas.openxmlformats.org/officeDocument/2006/relationships/hyperlink" Target="https://youtu.be/O1qx8UaRnyQ" TargetMode="External"/><Relationship Id="rId3" Type="http://schemas.openxmlformats.org/officeDocument/2006/relationships/hyperlink" Target="https://youtu.be/jsUwwJCnKpc" TargetMode="External"/><Relationship Id="rId12" Type="http://schemas.openxmlformats.org/officeDocument/2006/relationships/hyperlink" Target="https://youtu.be/y8GmNfHdEkw" TargetMode="External"/><Relationship Id="rId17" Type="http://schemas.openxmlformats.org/officeDocument/2006/relationships/hyperlink" Target="https://youtu.be/vwrfLItlUM4" TargetMode="External"/><Relationship Id="rId25" Type="http://schemas.openxmlformats.org/officeDocument/2006/relationships/hyperlink" Target="https://youtu.be/vdtgO8pw-xg" TargetMode="External"/><Relationship Id="rId33" Type="http://schemas.openxmlformats.org/officeDocument/2006/relationships/hyperlink" Target="https://youtu.be/eva3TV9ivXY" TargetMode="External"/><Relationship Id="rId38" Type="http://schemas.openxmlformats.org/officeDocument/2006/relationships/hyperlink" Target="https://youtu.be/hU7B_EAQQNE" TargetMode="External"/><Relationship Id="rId46" Type="http://schemas.openxmlformats.org/officeDocument/2006/relationships/hyperlink" Target="https://youtu.be/71I2oibEBvQ" TargetMode="External"/><Relationship Id="rId59" Type="http://schemas.openxmlformats.org/officeDocument/2006/relationships/hyperlink" Target="https://youtu.be/H9t_ONFyUuQ" TargetMode="External"/><Relationship Id="rId67" Type="http://schemas.openxmlformats.org/officeDocument/2006/relationships/hyperlink" Target="https://youtu.be/qIYl6clE2Nc" TargetMode="External"/><Relationship Id="rId20" Type="http://schemas.openxmlformats.org/officeDocument/2006/relationships/hyperlink" Target="https://youtu.be/pe045Lo1g9U" TargetMode="External"/><Relationship Id="rId41" Type="http://schemas.openxmlformats.org/officeDocument/2006/relationships/hyperlink" Target="https://youtu.be/90wPt27uhRY" TargetMode="External"/><Relationship Id="rId54" Type="http://schemas.openxmlformats.org/officeDocument/2006/relationships/hyperlink" Target="https://youtu.be/EOZGI0nqMMo" TargetMode="External"/><Relationship Id="rId62" Type="http://schemas.openxmlformats.org/officeDocument/2006/relationships/hyperlink" Target="https://youtu.be/rE0FXfQCEDI" TargetMode="External"/><Relationship Id="rId70" Type="http://schemas.openxmlformats.org/officeDocument/2006/relationships/hyperlink" Target="https://youtu.be/hj99idjNrUk" TargetMode="External"/><Relationship Id="rId75" Type="http://schemas.openxmlformats.org/officeDocument/2006/relationships/hyperlink" Target="https://youtu.be/_zgPqgxxgn8" TargetMode="External"/><Relationship Id="rId83" Type="http://schemas.openxmlformats.org/officeDocument/2006/relationships/hyperlink" Target="https://youtu.be/xk1CUX_7xec" TargetMode="External"/><Relationship Id="rId88" Type="http://schemas.openxmlformats.org/officeDocument/2006/relationships/hyperlink" Target="https://youtu.be/MCA5uBO1ZY8" TargetMode="External"/><Relationship Id="rId91" Type="http://schemas.openxmlformats.org/officeDocument/2006/relationships/hyperlink" Target="https://youtu.be/sKPdflt1PCE" TargetMode="External"/><Relationship Id="rId96" Type="http://schemas.openxmlformats.org/officeDocument/2006/relationships/hyperlink" Target="https://youtu.be/k8oHaLu8uHU" TargetMode="External"/><Relationship Id="rId1" Type="http://schemas.openxmlformats.org/officeDocument/2006/relationships/hyperlink" Target="https://youtu.be/1Z1ezwQ1Bhs" TargetMode="External"/><Relationship Id="rId6" Type="http://schemas.openxmlformats.org/officeDocument/2006/relationships/hyperlink" Target="https://youtu.be/6mBUyIBMe7g" TargetMode="External"/><Relationship Id="rId15" Type="http://schemas.openxmlformats.org/officeDocument/2006/relationships/hyperlink" Target="https://youtu.be/rGBrob_39Zs" TargetMode="External"/><Relationship Id="rId23" Type="http://schemas.openxmlformats.org/officeDocument/2006/relationships/hyperlink" Target="https://youtu.be/nQ__vzO-aU8" TargetMode="External"/><Relationship Id="rId28" Type="http://schemas.openxmlformats.org/officeDocument/2006/relationships/hyperlink" Target="https://youtu.be/bt_IMG3avnU" TargetMode="External"/><Relationship Id="rId36" Type="http://schemas.openxmlformats.org/officeDocument/2006/relationships/hyperlink" Target="https://youtu.be/MdYuNwrmjO4" TargetMode="External"/><Relationship Id="rId49" Type="http://schemas.openxmlformats.org/officeDocument/2006/relationships/hyperlink" Target="https://youtu.be/aC051-TDORA" TargetMode="External"/><Relationship Id="rId57" Type="http://schemas.openxmlformats.org/officeDocument/2006/relationships/hyperlink" Target="https://youtu.be/625LLtsHaXA" TargetMode="External"/><Relationship Id="rId10" Type="http://schemas.openxmlformats.org/officeDocument/2006/relationships/hyperlink" Target="https://youtu.be/hdeiuhdcYUg" TargetMode="External"/><Relationship Id="rId31" Type="http://schemas.openxmlformats.org/officeDocument/2006/relationships/hyperlink" Target="https://youtu.be/2DM0hJFJ-_o" TargetMode="External"/><Relationship Id="rId44" Type="http://schemas.openxmlformats.org/officeDocument/2006/relationships/hyperlink" Target="https://youtu.be/j_9UFJb7ARQ" TargetMode="External"/><Relationship Id="rId52" Type="http://schemas.openxmlformats.org/officeDocument/2006/relationships/hyperlink" Target="https://youtu.be/uNg96_LTBUY" TargetMode="External"/><Relationship Id="rId60" Type="http://schemas.openxmlformats.org/officeDocument/2006/relationships/hyperlink" Target="https://youtu.be/Tyv7h9rqu4Q" TargetMode="External"/><Relationship Id="rId65" Type="http://schemas.openxmlformats.org/officeDocument/2006/relationships/hyperlink" Target="https://youtu.be/Y3RdrgsiSVA" TargetMode="External"/><Relationship Id="rId73" Type="http://schemas.openxmlformats.org/officeDocument/2006/relationships/hyperlink" Target="https://youtu.be/EmlFr2NobcA" TargetMode="External"/><Relationship Id="rId78" Type="http://schemas.openxmlformats.org/officeDocument/2006/relationships/hyperlink" Target="https://youtu.be/0C9UHvKPonI" TargetMode="External"/><Relationship Id="rId81" Type="http://schemas.openxmlformats.org/officeDocument/2006/relationships/hyperlink" Target="https://youtu.be/JcuFUsFG_3k" TargetMode="External"/><Relationship Id="rId86" Type="http://schemas.openxmlformats.org/officeDocument/2006/relationships/hyperlink" Target="https://youtu.be/VG3d8aXifJI" TargetMode="External"/><Relationship Id="rId94" Type="http://schemas.openxmlformats.org/officeDocument/2006/relationships/hyperlink" Target="https://youtu.be/StVoJij9yQw" TargetMode="External"/><Relationship Id="rId99" Type="http://schemas.openxmlformats.org/officeDocument/2006/relationships/hyperlink" Target="https://youtu.be/Z5jeZOWgoUE" TargetMode="External"/><Relationship Id="rId4" Type="http://schemas.openxmlformats.org/officeDocument/2006/relationships/hyperlink" Target="https://youtu.be/xfg51X1HfVs" TargetMode="External"/><Relationship Id="rId9" Type="http://schemas.openxmlformats.org/officeDocument/2006/relationships/hyperlink" Target="https://youtu.be/FlJ40cuS3_U" TargetMode="External"/><Relationship Id="rId13" Type="http://schemas.openxmlformats.org/officeDocument/2006/relationships/hyperlink" Target="https://youtu.be/npZS9SMXZfY" TargetMode="External"/><Relationship Id="rId18" Type="http://schemas.openxmlformats.org/officeDocument/2006/relationships/hyperlink" Target="https://youtu.be/3oTBJw_TU7o" TargetMode="External"/><Relationship Id="rId39" Type="http://schemas.openxmlformats.org/officeDocument/2006/relationships/hyperlink" Target="https://youtu.be/dlpztHM46CM" TargetMode="External"/><Relationship Id="rId34" Type="http://schemas.openxmlformats.org/officeDocument/2006/relationships/hyperlink" Target="https://youtu.be/z4ob_4WoMlA" TargetMode="External"/><Relationship Id="rId50" Type="http://schemas.openxmlformats.org/officeDocument/2006/relationships/hyperlink" Target="https://youtu.be/XIcqWdLKSCg" TargetMode="External"/><Relationship Id="rId55" Type="http://schemas.openxmlformats.org/officeDocument/2006/relationships/hyperlink" Target="https://youtu.be/d1hP4lDc8dQ" TargetMode="External"/><Relationship Id="rId76" Type="http://schemas.openxmlformats.org/officeDocument/2006/relationships/hyperlink" Target="https://youtu.be/X7-5nZBVSME" TargetMode="External"/><Relationship Id="rId97" Type="http://schemas.openxmlformats.org/officeDocument/2006/relationships/hyperlink" Target="https://youtu.be/EgRQOC0TzYo" TargetMode="External"/><Relationship Id="rId7" Type="http://schemas.openxmlformats.org/officeDocument/2006/relationships/hyperlink" Target="https://youtu.be/KAuyqG4_6Nc" TargetMode="External"/><Relationship Id="rId71" Type="http://schemas.openxmlformats.org/officeDocument/2006/relationships/hyperlink" Target="https://youtu.be/jpLg_sVBYbM" TargetMode="External"/><Relationship Id="rId92" Type="http://schemas.openxmlformats.org/officeDocument/2006/relationships/hyperlink" Target="https://youtu.be/fBwj1nsfFQo" TargetMode="External"/><Relationship Id="rId2" Type="http://schemas.openxmlformats.org/officeDocument/2006/relationships/hyperlink" Target="https://youtu.be/Yp49Ssq9BGc" TargetMode="External"/><Relationship Id="rId29" Type="http://schemas.openxmlformats.org/officeDocument/2006/relationships/hyperlink" Target="https://youtu.be/Bp-Re-0OV4M" TargetMode="External"/><Relationship Id="rId24" Type="http://schemas.openxmlformats.org/officeDocument/2006/relationships/hyperlink" Target="https://youtu.be/JS0SRoJXQuw" TargetMode="External"/><Relationship Id="rId40" Type="http://schemas.openxmlformats.org/officeDocument/2006/relationships/hyperlink" Target="https://youtu.be/U48PORHqPJE" TargetMode="External"/><Relationship Id="rId45" Type="http://schemas.openxmlformats.org/officeDocument/2006/relationships/hyperlink" Target="https://youtu.be/8ss4Z8pQMoQ" TargetMode="External"/><Relationship Id="rId66" Type="http://schemas.openxmlformats.org/officeDocument/2006/relationships/hyperlink" Target="https://youtu.be/1YOtfA81qHM" TargetMode="External"/><Relationship Id="rId87" Type="http://schemas.openxmlformats.org/officeDocument/2006/relationships/hyperlink" Target="https://youtu.be/_18YkNH8L8E" TargetMode="External"/><Relationship Id="rId61" Type="http://schemas.openxmlformats.org/officeDocument/2006/relationships/hyperlink" Target="https://youtu.be/hay-fJ7MIA8" TargetMode="External"/><Relationship Id="rId82" Type="http://schemas.openxmlformats.org/officeDocument/2006/relationships/hyperlink" Target="https://youtu.be/H0gsJzsRzzI" TargetMode="External"/><Relationship Id="rId19" Type="http://schemas.openxmlformats.org/officeDocument/2006/relationships/hyperlink" Target="https://youtu.be/bYbxsqiIdVs" TargetMode="External"/><Relationship Id="rId14" Type="http://schemas.openxmlformats.org/officeDocument/2006/relationships/hyperlink" Target="https://youtu.be/tWbW32oQNts" TargetMode="External"/><Relationship Id="rId30" Type="http://schemas.openxmlformats.org/officeDocument/2006/relationships/hyperlink" Target="https://youtu.be/_09mlqooc3M" TargetMode="External"/><Relationship Id="rId35" Type="http://schemas.openxmlformats.org/officeDocument/2006/relationships/hyperlink" Target="https://youtu.be/pyh5G7HCIFo" TargetMode="External"/><Relationship Id="rId56" Type="http://schemas.openxmlformats.org/officeDocument/2006/relationships/hyperlink" Target="https://youtu.be/ns6yjsLcxso" TargetMode="External"/><Relationship Id="rId77" Type="http://schemas.openxmlformats.org/officeDocument/2006/relationships/hyperlink" Target="https://youtu.be/tA44TijbMJk" TargetMode="External"/><Relationship Id="rId100" Type="http://schemas.openxmlformats.org/officeDocument/2006/relationships/hyperlink" Target="https://youtu.be/CaOCxjMFse8" TargetMode="External"/><Relationship Id="rId8" Type="http://schemas.openxmlformats.org/officeDocument/2006/relationships/hyperlink" Target="https://youtu.be/TdK737oKbjU" TargetMode="External"/><Relationship Id="rId51" Type="http://schemas.openxmlformats.org/officeDocument/2006/relationships/hyperlink" Target="https://youtu.be/JfWIXtraNFA" TargetMode="External"/><Relationship Id="rId72" Type="http://schemas.openxmlformats.org/officeDocument/2006/relationships/hyperlink" Target="https://youtu.be/oFI5PJXnqgI" TargetMode="External"/><Relationship Id="rId93" Type="http://schemas.openxmlformats.org/officeDocument/2006/relationships/hyperlink" Target="https://youtu.be/K5gMS6lDfAM" TargetMode="External"/><Relationship Id="rId98" Type="http://schemas.openxmlformats.org/officeDocument/2006/relationships/hyperlink" Target="https://youtu.be/OyvaQE9Owh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pe045Lo1g9U" TargetMode="External"/><Relationship Id="rId13" Type="http://schemas.openxmlformats.org/officeDocument/2006/relationships/hyperlink" Target="https://youtu.be/2DM0hJFJ-_o" TargetMode="External"/><Relationship Id="rId18" Type="http://schemas.openxmlformats.org/officeDocument/2006/relationships/hyperlink" Target="https://youtu.be/yGpxWqtBsz4" TargetMode="External"/><Relationship Id="rId3" Type="http://schemas.openxmlformats.org/officeDocument/2006/relationships/hyperlink" Target="https://youtu.be/jsUwwJCnKpc" TargetMode="External"/><Relationship Id="rId21" Type="http://schemas.openxmlformats.org/officeDocument/2006/relationships/hyperlink" Target="https://youtu.be/99ZC6F5S_34" TargetMode="External"/><Relationship Id="rId7" Type="http://schemas.openxmlformats.org/officeDocument/2006/relationships/hyperlink" Target="https://youtu.be/bYbxsqiIdVs" TargetMode="External"/><Relationship Id="rId12" Type="http://schemas.openxmlformats.org/officeDocument/2006/relationships/hyperlink" Target="https://youtu.be/bt_IMG3avnU" TargetMode="External"/><Relationship Id="rId17" Type="http://schemas.openxmlformats.org/officeDocument/2006/relationships/hyperlink" Target="https://youtu.be/U48PORHqPJE" TargetMode="External"/><Relationship Id="rId2" Type="http://schemas.openxmlformats.org/officeDocument/2006/relationships/hyperlink" Target="https://youtu.be/Yp49Ssq9BGc" TargetMode="External"/><Relationship Id="rId16" Type="http://schemas.openxmlformats.org/officeDocument/2006/relationships/hyperlink" Target="https://youtu.be/dlpztHM46CM" TargetMode="External"/><Relationship Id="rId20" Type="http://schemas.openxmlformats.org/officeDocument/2006/relationships/hyperlink" Target="https://youtu.be/hay-fJ7MIA8" TargetMode="External"/><Relationship Id="rId1" Type="http://schemas.openxmlformats.org/officeDocument/2006/relationships/hyperlink" Target="https://youtu.be/1Z1ezwQ1Bhs" TargetMode="External"/><Relationship Id="rId6" Type="http://schemas.openxmlformats.org/officeDocument/2006/relationships/hyperlink" Target="https://youtu.be/6mBUyIBMe7g" TargetMode="External"/><Relationship Id="rId11" Type="http://schemas.openxmlformats.org/officeDocument/2006/relationships/hyperlink" Target="https://youtu.be/9Pty9jRw2KA" TargetMode="External"/><Relationship Id="rId24" Type="http://schemas.openxmlformats.org/officeDocument/2006/relationships/hyperlink" Target="https://youtu.be/1YOtfA81qHM" TargetMode="External"/><Relationship Id="rId5" Type="http://schemas.openxmlformats.org/officeDocument/2006/relationships/hyperlink" Target="https://youtu.be/z4My3WB6hV8" TargetMode="External"/><Relationship Id="rId15" Type="http://schemas.openxmlformats.org/officeDocument/2006/relationships/hyperlink" Target="https://youtu.be/hU7B_EAQQNE" TargetMode="External"/><Relationship Id="rId23" Type="http://schemas.openxmlformats.org/officeDocument/2006/relationships/hyperlink" Target="https://youtu.be/Y3RdrgsiSVA" TargetMode="External"/><Relationship Id="rId10" Type="http://schemas.openxmlformats.org/officeDocument/2006/relationships/hyperlink" Target="https://youtu.be/tjOX936dv5s" TargetMode="External"/><Relationship Id="rId19" Type="http://schemas.openxmlformats.org/officeDocument/2006/relationships/hyperlink" Target="https://youtu.be/qbCMcBXWpg4" TargetMode="External"/><Relationship Id="rId4" Type="http://schemas.openxmlformats.org/officeDocument/2006/relationships/hyperlink" Target="https://youtu.be/xfg51X1HfVs" TargetMode="External"/><Relationship Id="rId9" Type="http://schemas.openxmlformats.org/officeDocument/2006/relationships/hyperlink" Target="https://youtu.be/1hv8TXyb0h4" TargetMode="External"/><Relationship Id="rId14" Type="http://schemas.openxmlformats.org/officeDocument/2006/relationships/hyperlink" Target="https://youtu.be/a-S8yN8LrFo" TargetMode="External"/><Relationship Id="rId22" Type="http://schemas.openxmlformats.org/officeDocument/2006/relationships/hyperlink" Target="https://youtu.be/kUHJEkjdKw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ienVuHBQMxQ" TargetMode="External"/><Relationship Id="rId2" Type="http://schemas.openxmlformats.org/officeDocument/2006/relationships/hyperlink" Target="https://youtu.be/_Zsr-xXAcZ8" TargetMode="External"/><Relationship Id="rId1" Type="http://schemas.openxmlformats.org/officeDocument/2006/relationships/hyperlink" Target="https://forms.gle/VDZgNpakb9Pxg2n" TargetMode="External"/><Relationship Id="rId6" Type="http://schemas.openxmlformats.org/officeDocument/2006/relationships/hyperlink" Target="https://youtu.be/viTRlM3Xme4" TargetMode="External"/><Relationship Id="rId5" Type="http://schemas.openxmlformats.org/officeDocument/2006/relationships/hyperlink" Target="https://youtu.be/hiZ16DCP1eI" TargetMode="External"/><Relationship Id="rId4" Type="http://schemas.openxmlformats.org/officeDocument/2006/relationships/hyperlink" Target="https://youtu.be/jHQ_63bROqY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YN1tIbGJtp5TtulhTmqCW3buILggqVKG/view?usp=drivesdk" TargetMode="External"/><Relationship Id="rId299" Type="http://schemas.openxmlformats.org/officeDocument/2006/relationships/hyperlink" Target="https://drive.google.com/file/d/1d19iudfhBphNQ4vYfA52RSahG24Hd6cE/view?usp=drivesdk" TargetMode="External"/><Relationship Id="rId21" Type="http://schemas.openxmlformats.org/officeDocument/2006/relationships/hyperlink" Target="https://drive.google.com/file/d/1evHCxONLKQw6aLhkPB0-DivKVilowsSi/view?usp=drivesdk" TargetMode="External"/><Relationship Id="rId63" Type="http://schemas.openxmlformats.org/officeDocument/2006/relationships/hyperlink" Target="https://drive.google.com/file/d/1UFDkVlQncrBR84XiIKht2aK0qeSincXM/view?usp=drivesdk" TargetMode="External"/><Relationship Id="rId159" Type="http://schemas.openxmlformats.org/officeDocument/2006/relationships/hyperlink" Target="https://drive.google.com/file/d/1eOsyGH9N24Od1lBLQ_r8zOzFvWe5pyCM/view?usp=drivesdk" TargetMode="External"/><Relationship Id="rId170" Type="http://schemas.openxmlformats.org/officeDocument/2006/relationships/hyperlink" Target="https://drive.google.com/file/d/15nuYSZ9GDocAMHgXQksMYhwbQ4PKAcx_/view?usp=drivesdk" TargetMode="External"/><Relationship Id="rId226" Type="http://schemas.openxmlformats.org/officeDocument/2006/relationships/hyperlink" Target="https://drive.google.com/file/d/1LTP-hnHjGjOdU0rVDSkfW3W8jgAfE_4q/view?usp=drivesdk" TargetMode="External"/><Relationship Id="rId268" Type="http://schemas.openxmlformats.org/officeDocument/2006/relationships/hyperlink" Target="https://drive.google.com/file/d/1PQYIIb4p84N3IJA2Gt-es-JspmJqGMWH/view?usp=drivesdk" TargetMode="External"/><Relationship Id="rId32" Type="http://schemas.openxmlformats.org/officeDocument/2006/relationships/hyperlink" Target="https://drive.google.com/file/d/1zHvpx6ziCGzAOyKb1DDyNDhZy6gCZHvO/view?usp=drivesdk" TargetMode="External"/><Relationship Id="rId74" Type="http://schemas.openxmlformats.org/officeDocument/2006/relationships/hyperlink" Target="https://drive.google.com/file/d/1eT2z9gQk5fBm5GXE9VBSK3MtxpjhrL5c/view?usp=drivesdk" TargetMode="External"/><Relationship Id="rId128" Type="http://schemas.openxmlformats.org/officeDocument/2006/relationships/hyperlink" Target="https://drive.google.com/file/d/1XNosnzSOpPrUD6edgenHLwuGNVm_yb0K/view?usp=drivesdk" TargetMode="External"/><Relationship Id="rId5" Type="http://schemas.openxmlformats.org/officeDocument/2006/relationships/hyperlink" Target="https://drive.google.com/file/d/1vUtDHU42cfX-JREUwIXFQ14iWmIiZIin/view?usp=drivesdk" TargetMode="External"/><Relationship Id="rId181" Type="http://schemas.openxmlformats.org/officeDocument/2006/relationships/hyperlink" Target="https://drive.google.com/file/d/1gtHneZZ6xsA4KHGiQlQf8kAkNhu9LrM5/view?usp=drivesdk" TargetMode="External"/><Relationship Id="rId237" Type="http://schemas.openxmlformats.org/officeDocument/2006/relationships/hyperlink" Target="https://drive.google.com/file/d/1pDHkBYfFZJEBrqs4D7XolP-8sFsZtcuR/view?usp=drivesdk" TargetMode="External"/><Relationship Id="rId279" Type="http://schemas.openxmlformats.org/officeDocument/2006/relationships/hyperlink" Target="https://drive.google.com/file/d/1hawsxilrl6Jhcx8Rq6YLcqNB03GgxCPt/view?usp=drivesdk" TargetMode="External"/><Relationship Id="rId43" Type="http://schemas.openxmlformats.org/officeDocument/2006/relationships/hyperlink" Target="https://drive.google.com/file/d/19zo0bK6Nf9CMbGZ1QpTq7RaG5J8Cb9kY/view?usp=drivesdk" TargetMode="External"/><Relationship Id="rId139" Type="http://schemas.openxmlformats.org/officeDocument/2006/relationships/hyperlink" Target="https://drive.google.com/file/d/12r-S9tNIivO8Ux6KfOylDIq4spu6Mj12/view?usp=drivesdk" TargetMode="External"/><Relationship Id="rId290" Type="http://schemas.openxmlformats.org/officeDocument/2006/relationships/hyperlink" Target="https://drive.google.com/file/d/1cloGOjB1J0n4tMzZpc8tKDR3gsx04_uE/view?usp=drivesdk" TargetMode="External"/><Relationship Id="rId304" Type="http://schemas.openxmlformats.org/officeDocument/2006/relationships/hyperlink" Target="https://drive.google.com/file/d/1W4lKdmTmW84FdfjOydpqnGqhWYS31eQR/view?usp=drivesdk" TargetMode="External"/><Relationship Id="rId85" Type="http://schemas.openxmlformats.org/officeDocument/2006/relationships/hyperlink" Target="https://drive.google.com/file/d/1yC6jTrNCDaKFOkYOjfF7huD6ZAyrCyvF/view?usp=drivesdk" TargetMode="External"/><Relationship Id="rId150" Type="http://schemas.openxmlformats.org/officeDocument/2006/relationships/hyperlink" Target="https://drive.google.com/file/d/1uB3jY8yuvYRS076sOOVLi0Na8ms5t5pG/view?usp=drivesdk" TargetMode="External"/><Relationship Id="rId192" Type="http://schemas.openxmlformats.org/officeDocument/2006/relationships/hyperlink" Target="https://drive.google.com/file/d/1Sd5kc7Tz8Iv06Tq01qZ812fAYzeRgFL9/view?usp=drivesdk" TargetMode="External"/><Relationship Id="rId206" Type="http://schemas.openxmlformats.org/officeDocument/2006/relationships/hyperlink" Target="https://drive.google.com/file/d/1yF6mB3eUib3TZCXmZQHYXJfrm7O4x2Lb/view?usp=drivesdk" TargetMode="External"/><Relationship Id="rId248" Type="http://schemas.openxmlformats.org/officeDocument/2006/relationships/hyperlink" Target="https://drive.google.com/file/d/1Gy1KaSbR5yDRevJqJ_GLkKVeH5nE5Fa2/view?usp=drivesdk" TargetMode="External"/><Relationship Id="rId12" Type="http://schemas.openxmlformats.org/officeDocument/2006/relationships/hyperlink" Target="https://drive.google.com/file/d/1hDrmWJbFBGK52uMoLJiBTycNxyg62w5Z/view?usp=drivesdk" TargetMode="External"/><Relationship Id="rId108" Type="http://schemas.openxmlformats.org/officeDocument/2006/relationships/hyperlink" Target="https://drive.google.com/file/d/1bHjCmjeKdCtkzjUJ9W0E3yyvIo3sLbOT/view?usp=drivesdk" TargetMode="External"/><Relationship Id="rId315" Type="http://schemas.openxmlformats.org/officeDocument/2006/relationships/hyperlink" Target="https://drive.google.com/file/d/1uyocXxkPWd9-2fOTNSO75qGx15nNC38c/view?usp=drivesdk" TargetMode="External"/><Relationship Id="rId54" Type="http://schemas.openxmlformats.org/officeDocument/2006/relationships/hyperlink" Target="https://drive.google.com/file/d/18JW_KWcjtBXpOtSrEjpBPG9UFjkX1MZy/view?usp=drivesdk" TargetMode="External"/><Relationship Id="rId96" Type="http://schemas.openxmlformats.org/officeDocument/2006/relationships/hyperlink" Target="https://drive.google.com/file/d/1qMW0jQNkBDXywA-_eved4fGyCCzLs_8o/view?usp=drivesdk" TargetMode="External"/><Relationship Id="rId161" Type="http://schemas.openxmlformats.org/officeDocument/2006/relationships/hyperlink" Target="https://drive.google.com/file/d/1F1JhQUuI6YZ3umppffrGuGbsUoPmFalh/view?usp=drivesdk" TargetMode="External"/><Relationship Id="rId217" Type="http://schemas.openxmlformats.org/officeDocument/2006/relationships/hyperlink" Target="https://drive.google.com/file/d/1KvW90E3SSrlcebyVLx2mwkzVLt3mnbEh/view?usp=drivesdk" TargetMode="External"/><Relationship Id="rId259" Type="http://schemas.openxmlformats.org/officeDocument/2006/relationships/hyperlink" Target="https://drive.google.com/file/d/12OTjAtOeKlj1suWl--rtuAGndKtrsP7E/view?usp=drivesdk" TargetMode="External"/><Relationship Id="rId23" Type="http://schemas.openxmlformats.org/officeDocument/2006/relationships/hyperlink" Target="https://drive.google.com/file/d/1Y6pYY5V8dk1s1D35Lp4zWsamSErcLUa-/view?usp=drivesdk" TargetMode="External"/><Relationship Id="rId119" Type="http://schemas.openxmlformats.org/officeDocument/2006/relationships/hyperlink" Target="https://drive.google.com/file/d/1DBBB6EhjrP3zfnSnDyYvEhBmNnkDwFBv/view?usp=drivesdk" TargetMode="External"/><Relationship Id="rId270" Type="http://schemas.openxmlformats.org/officeDocument/2006/relationships/hyperlink" Target="https://drive.google.com/file/d/1Pfji7Cs441HGU9QY5hoWimXYVHCkFINE/view?usp=drivesdk" TargetMode="External"/><Relationship Id="rId65" Type="http://schemas.openxmlformats.org/officeDocument/2006/relationships/hyperlink" Target="https://drive.google.com/file/d/1PfPNoDJe1JIXkB_bVwH7oXGTkhE2RlHK/view?usp=drivesdk" TargetMode="External"/><Relationship Id="rId130" Type="http://schemas.openxmlformats.org/officeDocument/2006/relationships/hyperlink" Target="https://drive.google.com/file/d/1ec2z2y4VNDwDyUb8R04rLIoWLfzn9NU4/view?usp=drivesdk" TargetMode="External"/><Relationship Id="rId172" Type="http://schemas.openxmlformats.org/officeDocument/2006/relationships/hyperlink" Target="https://drive.google.com/file/d/1YyaCXFslG_LUpLlu955hFxG-32wEzB-c/view?usp=drivesdk" TargetMode="External"/><Relationship Id="rId228" Type="http://schemas.openxmlformats.org/officeDocument/2006/relationships/hyperlink" Target="https://drive.google.com/file/d/1jGPI3gsssmbGq6kx9PpPfOFmH9bWPy-_/view?usp=drivesdk" TargetMode="External"/><Relationship Id="rId13" Type="http://schemas.openxmlformats.org/officeDocument/2006/relationships/hyperlink" Target="https://drive.google.com/file/d/1TENNWVUSKo-mqEpFp2QVelaGbOa1Koma/view?usp=drivesdk" TargetMode="External"/><Relationship Id="rId109" Type="http://schemas.openxmlformats.org/officeDocument/2006/relationships/hyperlink" Target="https://drive.google.com/file/d/1t2xsIJbN8frZjehaCnXwjAbODkhNCsi0/view?usp=drivesdk" TargetMode="External"/><Relationship Id="rId260" Type="http://schemas.openxmlformats.org/officeDocument/2006/relationships/hyperlink" Target="https://drive.google.com/file/d/1wXFv380XChNbsVG8wiKd4KmZkzgxVHWn/view?usp=drivesdk" TargetMode="External"/><Relationship Id="rId281" Type="http://schemas.openxmlformats.org/officeDocument/2006/relationships/hyperlink" Target="https://drive.google.com/file/d/1870RXifk0mMzI3n2l7-FeQAV4ZZiuvP0/view?usp=drivesdk" TargetMode="External"/><Relationship Id="rId316" Type="http://schemas.openxmlformats.org/officeDocument/2006/relationships/hyperlink" Target="https://drive.google.com/file/d/1Oisw-bizd41xtZu9gas4_qUlChGS7_yv/view?usp=drivesdk" TargetMode="External"/><Relationship Id="rId34" Type="http://schemas.openxmlformats.org/officeDocument/2006/relationships/hyperlink" Target="https://drive.google.com/file/d/1yfJfIUmBlGK_yR_NBhFyM_oZFgw4Wgzu/view?usp=drivesdk" TargetMode="External"/><Relationship Id="rId55" Type="http://schemas.openxmlformats.org/officeDocument/2006/relationships/hyperlink" Target="https://drive.google.com/file/d/1pXC1tB-3ofDmCL4GY9v8P1ihE9uGkG4m/view?usp=drivesdk" TargetMode="External"/><Relationship Id="rId76" Type="http://schemas.openxmlformats.org/officeDocument/2006/relationships/hyperlink" Target="https://drive.google.com/file/d/1WGmKOWfNyXsNA1xR0p_u03ARiY-O3w7R/view?usp=drivesdk" TargetMode="External"/><Relationship Id="rId97" Type="http://schemas.openxmlformats.org/officeDocument/2006/relationships/hyperlink" Target="https://drive.google.com/file/d/163seaSFLGN_nIm7tYq4WHb-NAjIv_w2m/view?usp=drivesdk" TargetMode="External"/><Relationship Id="rId120" Type="http://schemas.openxmlformats.org/officeDocument/2006/relationships/hyperlink" Target="https://drive.google.com/file/d/1IqZdCOoMsXAwgjtQTJZyIsYMhbnyMtFO/view?usp=drivesdk" TargetMode="External"/><Relationship Id="rId141" Type="http://schemas.openxmlformats.org/officeDocument/2006/relationships/hyperlink" Target="https://drive.google.com/file/d/1uyDpXvQ5FP0AStj-OZHXyWjvy5CTu3Sg/view?usp=drivesdk" TargetMode="External"/><Relationship Id="rId7" Type="http://schemas.openxmlformats.org/officeDocument/2006/relationships/hyperlink" Target="https://drive.google.com/file/d/1_V7XPkVDbOOoJX_L_Ihu6CEaVxraDsB_/view?usp=drivesdk" TargetMode="External"/><Relationship Id="rId162" Type="http://schemas.openxmlformats.org/officeDocument/2006/relationships/hyperlink" Target="https://drive.google.com/file/d/1CJ48O_r2EZQYbcnyAtA5Nw4yRcXAEl1r/view?usp=drivesdk" TargetMode="External"/><Relationship Id="rId183" Type="http://schemas.openxmlformats.org/officeDocument/2006/relationships/hyperlink" Target="https://drive.google.com/file/d/1ivZ8fCvoaClUUL_xdPgWyAyD1xR0ySZF/view?usp=drivesdk" TargetMode="External"/><Relationship Id="rId218" Type="http://schemas.openxmlformats.org/officeDocument/2006/relationships/hyperlink" Target="https://drive.google.com/file/d/1in6OwY09y3x71nlCDheNzsd0ZBxr7ROs/view?usp=drivesdk" TargetMode="External"/><Relationship Id="rId239" Type="http://schemas.openxmlformats.org/officeDocument/2006/relationships/hyperlink" Target="https://drive.google.com/file/d/1ZQFai0sT3tMaS9PcFOWKAR_M8i9PfDdK/view?usp=drivesdk" TargetMode="External"/><Relationship Id="rId250" Type="http://schemas.openxmlformats.org/officeDocument/2006/relationships/hyperlink" Target="https://drive.google.com/file/d/112pgWYWeqWOd0QDg9-MuOJ4YIxrJupbV/view?usp=drivesdk" TargetMode="External"/><Relationship Id="rId271" Type="http://schemas.openxmlformats.org/officeDocument/2006/relationships/hyperlink" Target="https://drive.google.com/file/d/1vfgM2oAomGiwCM2JtNIgftnSwoMDYapE/view?usp=drivesdk" TargetMode="External"/><Relationship Id="rId292" Type="http://schemas.openxmlformats.org/officeDocument/2006/relationships/hyperlink" Target="https://drive.google.com/file/d/1eg1V7rZ-t1LWDz97W60yuw2hX6rb8uir/view?usp=drivesdk" TargetMode="External"/><Relationship Id="rId306" Type="http://schemas.openxmlformats.org/officeDocument/2006/relationships/hyperlink" Target="https://drive.google.com/file/d/1zG7tzFIq-rPePh5HIM5LQlaJER7523vs/view?usp=drivesdk" TargetMode="External"/><Relationship Id="rId24" Type="http://schemas.openxmlformats.org/officeDocument/2006/relationships/hyperlink" Target="https://drive.google.com/file/d/1W-PkmWZSbnrb5Flrdkor_s9hOY8tjoVX/view?usp=drivesdk" TargetMode="External"/><Relationship Id="rId45" Type="http://schemas.openxmlformats.org/officeDocument/2006/relationships/hyperlink" Target="https://drive.google.com/file/d/1w42AlCnIu8syElnwTijoD87Oe6Jg8nnh/view?usp=drivesdk" TargetMode="External"/><Relationship Id="rId66" Type="http://schemas.openxmlformats.org/officeDocument/2006/relationships/hyperlink" Target="https://drive.google.com/file/d/1W6RCvVJ3pxxgtqeHg9EDgqrynSGxczAN/view?usp=drivesdk" TargetMode="External"/><Relationship Id="rId87" Type="http://schemas.openxmlformats.org/officeDocument/2006/relationships/hyperlink" Target="https://drive.google.com/file/d/1Rk8GYH3azCfUfXi-yNMUenu0OAe94Ykm/view?usp=drivesdk" TargetMode="External"/><Relationship Id="rId110" Type="http://schemas.openxmlformats.org/officeDocument/2006/relationships/hyperlink" Target="https://drive.google.com/file/d/15BjS7NNaljaR7mLeSDkA77Znng0irlPT/view?usp=drivesdk" TargetMode="External"/><Relationship Id="rId131" Type="http://schemas.openxmlformats.org/officeDocument/2006/relationships/hyperlink" Target="https://drive.google.com/file/d/1ohBk4aiZL2OkfcSuD-DYPmAaNMr60xwO/view?usp=drivesdk" TargetMode="External"/><Relationship Id="rId152" Type="http://schemas.openxmlformats.org/officeDocument/2006/relationships/hyperlink" Target="https://drive.google.com/file/d/1DkkO15Yi7JOS01BSG8FXM-9lwwjfu8aY/view?usp=drivesdk" TargetMode="External"/><Relationship Id="rId173" Type="http://schemas.openxmlformats.org/officeDocument/2006/relationships/hyperlink" Target="https://drive.google.com/file/d/1hJyhm1bbjYmRqpqwBymvaytZfhHulBGK/view?usp=drivesdk" TargetMode="External"/><Relationship Id="rId194" Type="http://schemas.openxmlformats.org/officeDocument/2006/relationships/hyperlink" Target="https://drive.google.com/file/d/1Dpp1fivQwPATpGgiWCREXa663DLcxyTs/view?usp=drivesdk" TargetMode="External"/><Relationship Id="rId208" Type="http://schemas.openxmlformats.org/officeDocument/2006/relationships/hyperlink" Target="https://drive.google.com/file/d/1TMc6v5peVH9Lx6Ev60h_eN17iHo42XcM/view?usp=drivesdk" TargetMode="External"/><Relationship Id="rId229" Type="http://schemas.openxmlformats.org/officeDocument/2006/relationships/hyperlink" Target="https://drive.google.com/file/d/16UpTcSXq7OjYigmfgsTICMpaG-7wdJgS/view?usp=drivesdk" TargetMode="External"/><Relationship Id="rId240" Type="http://schemas.openxmlformats.org/officeDocument/2006/relationships/hyperlink" Target="https://drive.google.com/file/d/1kgweONGGEZWwtN2wKkw7bzAR2JatI7s-/view?usp=drivesdk" TargetMode="External"/><Relationship Id="rId261" Type="http://schemas.openxmlformats.org/officeDocument/2006/relationships/hyperlink" Target="https://drive.google.com/file/d/11HgtNkLaIwZepO1zjKXxhsqvv3TRpjqM/view?usp=drivesdk" TargetMode="External"/><Relationship Id="rId14" Type="http://schemas.openxmlformats.org/officeDocument/2006/relationships/hyperlink" Target="https://drive.google.com/file/d/15n2lobdWf5vK7JRU5kmK7h5If96YHYGS/view?usp=drivesdk" TargetMode="External"/><Relationship Id="rId35" Type="http://schemas.openxmlformats.org/officeDocument/2006/relationships/hyperlink" Target="https://drive.google.com/file/d/1Kof2UzE58nKAQAjx78E3zMIQ-tYsB7KY/view?usp=drivesdk" TargetMode="External"/><Relationship Id="rId56" Type="http://schemas.openxmlformats.org/officeDocument/2006/relationships/hyperlink" Target="https://drive.google.com/file/d/1xsGA-do4-SIH4TdIfgM9SQMGFzG-2D1w/view?usp=drivesdk" TargetMode="External"/><Relationship Id="rId77" Type="http://schemas.openxmlformats.org/officeDocument/2006/relationships/hyperlink" Target="https://drive.google.com/file/d/1va0n0-TontCOr7bFAZMV3zyU5ti_G0G6/view?usp=drivesdk" TargetMode="External"/><Relationship Id="rId100" Type="http://schemas.openxmlformats.org/officeDocument/2006/relationships/hyperlink" Target="https://drive.google.com/file/d/1okIbqaMl4ylO1sJ5AfS3PluLPk_i4stD/view?usp=drivesdk" TargetMode="External"/><Relationship Id="rId282" Type="http://schemas.openxmlformats.org/officeDocument/2006/relationships/hyperlink" Target="https://drive.google.com/file/d/1D-CGAcufxhAF9q5LHAfDrvYaYDB8Fc2E/view?usp=drivesdk" TargetMode="External"/><Relationship Id="rId317" Type="http://schemas.openxmlformats.org/officeDocument/2006/relationships/hyperlink" Target="https://drive.google.com/file/d/1092Hy_VNidcXMKswUkTZ4hKMjZ0qNGJT/view?usp=drivesdk" TargetMode="External"/><Relationship Id="rId8" Type="http://schemas.openxmlformats.org/officeDocument/2006/relationships/hyperlink" Target="https://drive.google.com/file/d/1dqVOX3B9DtgFU2e2rNMYRU3uLa7SfqUm/view?usp=drivesdk" TargetMode="External"/><Relationship Id="rId98" Type="http://schemas.openxmlformats.org/officeDocument/2006/relationships/hyperlink" Target="https://drive.google.com/file/d/1l0EgHwWyddbfqIPWH_ZaxCzJ1fRHztc5/view?usp=drivesdk" TargetMode="External"/><Relationship Id="rId121" Type="http://schemas.openxmlformats.org/officeDocument/2006/relationships/hyperlink" Target="https://drive.google.com/file/d/1OqviFpAXMcuiyMynfIzhgGCKnuBcUC9S/view?usp=drivesdk" TargetMode="External"/><Relationship Id="rId142" Type="http://schemas.openxmlformats.org/officeDocument/2006/relationships/hyperlink" Target="https://drive.google.com/file/d/1HTUvtRudBr_wmE6bp67mLPKcIL1D7U_9/view?usp=drivesdk" TargetMode="External"/><Relationship Id="rId163" Type="http://schemas.openxmlformats.org/officeDocument/2006/relationships/hyperlink" Target="https://drive.google.com/file/d/1-4M29xh2xvLWUCm8CDR0VT_xhIoRNCoK/view?usp=drivesdk" TargetMode="External"/><Relationship Id="rId184" Type="http://schemas.openxmlformats.org/officeDocument/2006/relationships/hyperlink" Target="https://drive.google.com/file/d/1mlLzsSUXw-vHNxtPNwWJyJhKBWQucRiV/view?usp=drivesdk" TargetMode="External"/><Relationship Id="rId219" Type="http://schemas.openxmlformats.org/officeDocument/2006/relationships/hyperlink" Target="https://drive.google.com/file/d/1nc0B8mGseVqYTVy96h0CdkXmydz2b9zh/view?usp=drivesdk" TargetMode="External"/><Relationship Id="rId230" Type="http://schemas.openxmlformats.org/officeDocument/2006/relationships/hyperlink" Target="https://drive.google.com/file/d/17GsC-BvshlI-ERcKVU3nLCGV0aQ45jkv/view?usp=drivesdk" TargetMode="External"/><Relationship Id="rId251" Type="http://schemas.openxmlformats.org/officeDocument/2006/relationships/hyperlink" Target="https://drive.google.com/file/d/1toWaMR0nYdqWaEFVMorkuX0A1OGL5B2F/view?usp=drivesdk" TargetMode="External"/><Relationship Id="rId25" Type="http://schemas.openxmlformats.org/officeDocument/2006/relationships/hyperlink" Target="https://drive.google.com/file/d/1Hyn5gQAW8Yi49sTZwNS9VsYwXjTEknRS/view?usp=drivesdk" TargetMode="External"/><Relationship Id="rId46" Type="http://schemas.openxmlformats.org/officeDocument/2006/relationships/hyperlink" Target="https://drive.google.com/file/d/1-SFf_Vxj_dX3W19wdXAblR1pqIC-buzr/view?usp=drivesdk" TargetMode="External"/><Relationship Id="rId67" Type="http://schemas.openxmlformats.org/officeDocument/2006/relationships/hyperlink" Target="https://drive.google.com/file/d/1RCkbIH0OwgParAwilipeSAB_nskIUtNo/view?usp=drivesdk" TargetMode="External"/><Relationship Id="rId272" Type="http://schemas.openxmlformats.org/officeDocument/2006/relationships/hyperlink" Target="https://drive.google.com/file/d/1d3-Ha6G2Z3GqZOcsS4bslAS09gXse71N/view?usp=drivesdk" TargetMode="External"/><Relationship Id="rId293" Type="http://schemas.openxmlformats.org/officeDocument/2006/relationships/hyperlink" Target="https://drive.google.com/file/d/1f_yslGCG4xBupHPNWbTV3DzHzJSWi2pE/view?usp=drivesdk" TargetMode="External"/><Relationship Id="rId307" Type="http://schemas.openxmlformats.org/officeDocument/2006/relationships/hyperlink" Target="https://drive.google.com/file/d/14zhZ-fXRoKPzWdN2JZtrazQPayFJP2D5/view?usp=drivesdk" TargetMode="External"/><Relationship Id="rId88" Type="http://schemas.openxmlformats.org/officeDocument/2006/relationships/hyperlink" Target="https://drive.google.com/file/d/1179ZCoPp7ZFZce9mc35R6V6F4XOv1TZw/view?usp=drivesdk" TargetMode="External"/><Relationship Id="rId111" Type="http://schemas.openxmlformats.org/officeDocument/2006/relationships/hyperlink" Target="https://drive.google.com/file/d/1zohaoMglK4J_S1r5r6_vWLI-ANxq6k7_/view?usp=drivesdk" TargetMode="External"/><Relationship Id="rId132" Type="http://schemas.openxmlformats.org/officeDocument/2006/relationships/hyperlink" Target="https://drive.google.com/file/d/1dPyiVsY0rfvJLoKkcJxEJ4pQ4hgGYLKM/view?usp=drivesdk" TargetMode="External"/><Relationship Id="rId153" Type="http://schemas.openxmlformats.org/officeDocument/2006/relationships/hyperlink" Target="https://drive.google.com/file/d/1GDJKhJON2SthCWeW_IYSkso9PFO3ZgFh/view?usp=drivesdk" TargetMode="External"/><Relationship Id="rId174" Type="http://schemas.openxmlformats.org/officeDocument/2006/relationships/hyperlink" Target="https://drive.google.com/file/d/1E7hPMTYsXJJ3OaHCsFR6R5je_57ERbCB/view?usp=drivesdk" TargetMode="External"/><Relationship Id="rId195" Type="http://schemas.openxmlformats.org/officeDocument/2006/relationships/hyperlink" Target="https://drive.google.com/file/d/10w4404PrHFGx9Ov7AVi6L0XeOwUY57IG/view?usp=drivesdk" TargetMode="External"/><Relationship Id="rId209" Type="http://schemas.openxmlformats.org/officeDocument/2006/relationships/hyperlink" Target="https://drive.google.com/file/d/1Lfu27AcopCqdWdHEQxeXH6DtJCvdiwOh/view?usp=drivesdk" TargetMode="External"/><Relationship Id="rId220" Type="http://schemas.openxmlformats.org/officeDocument/2006/relationships/hyperlink" Target="https://drive.google.com/file/d/1ZWGhf1GE7Nz6NPzS16QFFadqePsk8QCB/view?usp=drivesdk" TargetMode="External"/><Relationship Id="rId241" Type="http://schemas.openxmlformats.org/officeDocument/2006/relationships/hyperlink" Target="https://drive.google.com/file/d/1aOdUbojHaE8bhkW14eHtnvOgfoZr1fW0/view?usp=drivesdk" TargetMode="External"/><Relationship Id="rId15" Type="http://schemas.openxmlformats.org/officeDocument/2006/relationships/hyperlink" Target="https://drive.google.com/file/d/1zMI_QXDVBmpOUbOEECp3g2Em8KbXU-1v/view?usp=drivesdk" TargetMode="External"/><Relationship Id="rId36" Type="http://schemas.openxmlformats.org/officeDocument/2006/relationships/hyperlink" Target="https://drive.google.com/file/d/1NtCDabKw2LU6n60S_GCw99YaoW7Iy2fh/view?usp=drivesdk" TargetMode="External"/><Relationship Id="rId57" Type="http://schemas.openxmlformats.org/officeDocument/2006/relationships/hyperlink" Target="https://drive.google.com/file/d/1zkfkdoRliDkeUhDjLFiYfBNGRQdeavmg/view?usp=drivesdk" TargetMode="External"/><Relationship Id="rId262" Type="http://schemas.openxmlformats.org/officeDocument/2006/relationships/hyperlink" Target="https://drive.google.com/file/d/1xiFJBfnCUCIZKyRGc1f3bjNCbQ1UqGM4/view?usp=drivesdk" TargetMode="External"/><Relationship Id="rId283" Type="http://schemas.openxmlformats.org/officeDocument/2006/relationships/hyperlink" Target="https://drive.google.com/file/d/1AM5x_GqybabRLe39l6W8-o_mcPQ9mCj0/view?usp=drivesdk" TargetMode="External"/><Relationship Id="rId78" Type="http://schemas.openxmlformats.org/officeDocument/2006/relationships/hyperlink" Target="https://drive.google.com/file/d/1xFP7ahn8BRKF2LZxhnnmeRSC9cd_PND9/view?usp=drivesdk" TargetMode="External"/><Relationship Id="rId99" Type="http://schemas.openxmlformats.org/officeDocument/2006/relationships/hyperlink" Target="https://drive.google.com/file/d/1AHboHsnSLoi5moB7bttGU7xqHc1d1W-O/view?usp=drivesdk" TargetMode="External"/><Relationship Id="rId101" Type="http://schemas.openxmlformats.org/officeDocument/2006/relationships/hyperlink" Target="https://drive.google.com/file/d/1IBLk3UUblRN4VlLjC4ak4xX9BaejnK3w/view?usp=drivesdk" TargetMode="External"/><Relationship Id="rId122" Type="http://schemas.openxmlformats.org/officeDocument/2006/relationships/hyperlink" Target="https://drive.google.com/file/d/1DbJewEHZCqJX2XUc-UHzf207KSyF7FCN/view?usp=drivesdk" TargetMode="External"/><Relationship Id="rId143" Type="http://schemas.openxmlformats.org/officeDocument/2006/relationships/hyperlink" Target="https://drive.google.com/file/d/1VV3SiNCpbmcSRp10ujES5uCjAOVe4GVf/view?usp=drivesdk" TargetMode="External"/><Relationship Id="rId164" Type="http://schemas.openxmlformats.org/officeDocument/2006/relationships/hyperlink" Target="https://drive.google.com/file/d/1Fl472KPbyeRe_oCQotpmD_YN7SSq2WuK/view?usp=drivesdk" TargetMode="External"/><Relationship Id="rId185" Type="http://schemas.openxmlformats.org/officeDocument/2006/relationships/hyperlink" Target="https://drive.google.com/file/d/1VIBw_IUZKbQrWIpccedbUTaJfxUDJ63s/view?usp=drivesdk" TargetMode="External"/><Relationship Id="rId9" Type="http://schemas.openxmlformats.org/officeDocument/2006/relationships/hyperlink" Target="https://drive.google.com/file/d/1idaBNGmzJpwld9AsQqoiWGBoiYTUWuNi/view?usp=drivesdk" TargetMode="External"/><Relationship Id="rId210" Type="http://schemas.openxmlformats.org/officeDocument/2006/relationships/hyperlink" Target="https://drive.google.com/file/d/1KZ_iXQsJMfQctpuwMY8R09F1usETL5eJ/view?usp=drivesdk" TargetMode="External"/><Relationship Id="rId26" Type="http://schemas.openxmlformats.org/officeDocument/2006/relationships/hyperlink" Target="https://drive.google.com/file/d/1L8ygCHxWkxDSXvnUf7v-GkDRY9ddrEbH/view?usp=drivesdk" TargetMode="External"/><Relationship Id="rId231" Type="http://schemas.openxmlformats.org/officeDocument/2006/relationships/hyperlink" Target="https://drive.google.com/file/d/1S281hJr-HCEI2L-re8QUtCcYlBJqrnWO/view?usp=drivesdk" TargetMode="External"/><Relationship Id="rId252" Type="http://schemas.openxmlformats.org/officeDocument/2006/relationships/hyperlink" Target="https://drive.google.com/file/d/1Ta1_0yOs0XeGDx3dvoGomg-ReKNzkN91/view?usp=drivesdk" TargetMode="External"/><Relationship Id="rId273" Type="http://schemas.openxmlformats.org/officeDocument/2006/relationships/hyperlink" Target="https://drive.google.com/file/d/1J8dH4OKQ71VRGcWCM5XMO7IVkVXur-U1/view?usp=drivesdk" TargetMode="External"/><Relationship Id="rId294" Type="http://schemas.openxmlformats.org/officeDocument/2006/relationships/hyperlink" Target="https://drive.google.com/file/d/1-9_9qObiyUlBhAuuPRCJczREc8_RNH4m/view?usp=drivesdk" TargetMode="External"/><Relationship Id="rId308" Type="http://schemas.openxmlformats.org/officeDocument/2006/relationships/hyperlink" Target="https://drive.google.com/file/d/1x_PbKuukk9vgnvW3nhfKPNnJ6U9k_IxO/view?usp=drivesdk" TargetMode="External"/><Relationship Id="rId47" Type="http://schemas.openxmlformats.org/officeDocument/2006/relationships/hyperlink" Target="https://drive.google.com/file/d/1PEz9CPO90QZKjOsn4n_A-JEtnsjx86Lj/view?usp=drivesdk" TargetMode="External"/><Relationship Id="rId68" Type="http://schemas.openxmlformats.org/officeDocument/2006/relationships/hyperlink" Target="https://drive.google.com/file/d/1CZaBkVLcsqQHLTP8FBuuEUfZJODfwHm2/view?usp=drivesdk" TargetMode="External"/><Relationship Id="rId89" Type="http://schemas.openxmlformats.org/officeDocument/2006/relationships/hyperlink" Target="https://drive.google.com/file/d/1FheIyVbzhfZnUD1AVJm56h4ymO5AeEk4/view?usp=drivesdk" TargetMode="External"/><Relationship Id="rId112" Type="http://schemas.openxmlformats.org/officeDocument/2006/relationships/hyperlink" Target="https://drive.google.com/file/d/1fIVNuva6qKyBesSwLX6-ED-0qg4sK7K9/view?usp=drivesdk" TargetMode="External"/><Relationship Id="rId133" Type="http://schemas.openxmlformats.org/officeDocument/2006/relationships/hyperlink" Target="https://drive.google.com/file/d/1KeZmftALIlLivuYaborCIfWN8_ITayJn/view?usp=drivesdk" TargetMode="External"/><Relationship Id="rId154" Type="http://schemas.openxmlformats.org/officeDocument/2006/relationships/hyperlink" Target="https://drive.google.com/file/d/1G5FuJDEPX4YpTPSwIskIvAcdHcKtcY8o/view?usp=drivesdk" TargetMode="External"/><Relationship Id="rId175" Type="http://schemas.openxmlformats.org/officeDocument/2006/relationships/hyperlink" Target="https://drive.google.com/file/d/1L4dgiT11TgnTbFzGR78-qxEHfmxNzi2s/view?usp=drivesdk" TargetMode="External"/><Relationship Id="rId196" Type="http://schemas.openxmlformats.org/officeDocument/2006/relationships/hyperlink" Target="https://drive.google.com/file/d/119j8VEipLv7AcOSBijEwYT_0tuSNeyCv/view?usp=drivesdk" TargetMode="External"/><Relationship Id="rId200" Type="http://schemas.openxmlformats.org/officeDocument/2006/relationships/hyperlink" Target="https://drive.google.com/file/d/1KQt4mOfFJ40cD4UW3Dghu4LeFqJwpcgb/view?usp=drivesdk" TargetMode="External"/><Relationship Id="rId16" Type="http://schemas.openxmlformats.org/officeDocument/2006/relationships/hyperlink" Target="https://drive.google.com/file/d/1j0GyK_JxDKS2r4eeHFjKv91hVFwRdDaO/view?usp=drivesdk" TargetMode="External"/><Relationship Id="rId221" Type="http://schemas.openxmlformats.org/officeDocument/2006/relationships/hyperlink" Target="https://drive.google.com/file/d/15PdMdp6JIYmMqfpB-DXjyF2AZjoWZykG/view?usp=drivesdk" TargetMode="External"/><Relationship Id="rId242" Type="http://schemas.openxmlformats.org/officeDocument/2006/relationships/hyperlink" Target="https://drive.google.com/file/d/1kvY10dIPa4cJ1pGfOS_tgrFW9ly1JaWA/view?usp=drivesdk" TargetMode="External"/><Relationship Id="rId263" Type="http://schemas.openxmlformats.org/officeDocument/2006/relationships/hyperlink" Target="https://drive.google.com/file/d/15C-GJYaYX6eW3EAS8FzkMn2yH8H2ZamS/view?usp=drivesdk" TargetMode="External"/><Relationship Id="rId284" Type="http://schemas.openxmlformats.org/officeDocument/2006/relationships/hyperlink" Target="https://drive.google.com/file/d/17-Bj0iQ-YSZjFoyU2U0Byxx6wzfFPUaI/view?usp=drivesdk" TargetMode="External"/><Relationship Id="rId37" Type="http://schemas.openxmlformats.org/officeDocument/2006/relationships/hyperlink" Target="https://drive.google.com/file/d/16OCsnqFCjiiB9rQnv0CWjyGoblI_NLAW/view?usp=drivesdk" TargetMode="External"/><Relationship Id="rId58" Type="http://schemas.openxmlformats.org/officeDocument/2006/relationships/hyperlink" Target="https://drive.google.com/file/d/1ovy3UoRdle02EfyvqS8z16UbxtVk_hYI/view?usp=drivesdk" TargetMode="External"/><Relationship Id="rId79" Type="http://schemas.openxmlformats.org/officeDocument/2006/relationships/hyperlink" Target="https://drive.google.com/file/d/1WGNQvSP976DKP7_1W-dsE--FCt2XCXLn/view?usp=drivesdk" TargetMode="External"/><Relationship Id="rId102" Type="http://schemas.openxmlformats.org/officeDocument/2006/relationships/hyperlink" Target="https://drive.google.com/file/d/1B3Oig7g5Bpy84cBWpWNlWAa3UYSdiPBi/view?usp=drivesdk" TargetMode="External"/><Relationship Id="rId123" Type="http://schemas.openxmlformats.org/officeDocument/2006/relationships/hyperlink" Target="https://drive.google.com/file/d/1QAfxsJP2i_KFM3DkNe48dZVOTPmT0dBK/view?usp=drivesdk" TargetMode="External"/><Relationship Id="rId144" Type="http://schemas.openxmlformats.org/officeDocument/2006/relationships/hyperlink" Target="https://drive.google.com/file/d/1atUhQbEI8b2YvHPvNySJymcSRrxXg2uy/view?usp=drivesdk" TargetMode="External"/><Relationship Id="rId90" Type="http://schemas.openxmlformats.org/officeDocument/2006/relationships/hyperlink" Target="https://drive.google.com/file/d/1ruL76KrRpdI0PmXrDMIk6JTdggGaRtW3/view?usp=drivesdk" TargetMode="External"/><Relationship Id="rId165" Type="http://schemas.openxmlformats.org/officeDocument/2006/relationships/hyperlink" Target="https://drive.google.com/file/d/1bXjneIdmWu2HD4BpZz12BiUnmTJ3_36W/view?usp=drivesdk" TargetMode="External"/><Relationship Id="rId186" Type="http://schemas.openxmlformats.org/officeDocument/2006/relationships/hyperlink" Target="https://drive.google.com/file/d/1JKTM6L4Puu2UD5drXQaH3BrCn8QzOldE/view?usp=drivesdk" TargetMode="External"/><Relationship Id="rId211" Type="http://schemas.openxmlformats.org/officeDocument/2006/relationships/hyperlink" Target="https://drive.google.com/file/d/1lOIo4BDJPTHXhgx4224MnIqvDFAFTGvF/view?usp=drivesdk" TargetMode="External"/><Relationship Id="rId232" Type="http://schemas.openxmlformats.org/officeDocument/2006/relationships/hyperlink" Target="https://drive.google.com/file/d/1fUz8w1p8Lt6jhkKj_BHksYyxjj1udz1K/view?usp=drivesdk" TargetMode="External"/><Relationship Id="rId253" Type="http://schemas.openxmlformats.org/officeDocument/2006/relationships/hyperlink" Target="https://drive.google.com/file/d/1OnBD647VS-euoDYFVpD1drbLeyhv0jVi/view?usp=drivesdk" TargetMode="External"/><Relationship Id="rId274" Type="http://schemas.openxmlformats.org/officeDocument/2006/relationships/hyperlink" Target="https://drive.google.com/file/d/1OXHBEhKiFq3LPF0QWC1L_hQn4cIKRC2f/view?usp=drivesdk" TargetMode="External"/><Relationship Id="rId295" Type="http://schemas.openxmlformats.org/officeDocument/2006/relationships/hyperlink" Target="https://drive.google.com/file/d/1_Z_zoNqqdqzDewdH4eivHT5H1JOLUo2C/view?usp=drivesdk" TargetMode="External"/><Relationship Id="rId309" Type="http://schemas.openxmlformats.org/officeDocument/2006/relationships/hyperlink" Target="https://drive.google.com/file/d/1WP6ejnr7gw4iScz249OSEgekYbrlFxQP/view?usp=drivesdk" TargetMode="External"/><Relationship Id="rId27" Type="http://schemas.openxmlformats.org/officeDocument/2006/relationships/hyperlink" Target="https://drive.google.com/file/d/1280phwRgMfWJew0JHPtP8P_96NTg3l96/view?usp=drivesdk" TargetMode="External"/><Relationship Id="rId48" Type="http://schemas.openxmlformats.org/officeDocument/2006/relationships/hyperlink" Target="https://drive.google.com/file/d/1LiSjmeVbZdppUaiDOM_HvtZM_lJFti8P/view?usp=drivesdk" TargetMode="External"/><Relationship Id="rId69" Type="http://schemas.openxmlformats.org/officeDocument/2006/relationships/hyperlink" Target="https://drive.google.com/file/d/1Mvjq36bLYCJDphD7xd9JZTiVmWLNK1m3/view?usp=drivesdk" TargetMode="External"/><Relationship Id="rId113" Type="http://schemas.openxmlformats.org/officeDocument/2006/relationships/hyperlink" Target="https://drive.google.com/file/d/1TIOyT0AoPvv7MpavESEzrh34jov2zWtn/view?usp=drivesdk" TargetMode="External"/><Relationship Id="rId134" Type="http://schemas.openxmlformats.org/officeDocument/2006/relationships/hyperlink" Target="https://drive.google.com/file/d/1e8bz4wrdjkYryvvzD7orr-eHGf5t-bzp/view?usp=drivesdk" TargetMode="External"/><Relationship Id="rId80" Type="http://schemas.openxmlformats.org/officeDocument/2006/relationships/hyperlink" Target="https://drive.google.com/file/d/1aLFT7h1eaHevh1L7S7iccsGGQGVXROeZ/view?usp=drivesdk" TargetMode="External"/><Relationship Id="rId155" Type="http://schemas.openxmlformats.org/officeDocument/2006/relationships/hyperlink" Target="https://drive.google.com/file/d/1VddpPjGe5fD3gBk1wjc7EYX2Upqm5CzN/view?usp=drivesdk" TargetMode="External"/><Relationship Id="rId176" Type="http://schemas.openxmlformats.org/officeDocument/2006/relationships/hyperlink" Target="https://drive.google.com/file/d/1Smx6GRF5DirxqRRj85LZt05DjoU5e7Hm/view?usp=drivesdk" TargetMode="External"/><Relationship Id="rId197" Type="http://schemas.openxmlformats.org/officeDocument/2006/relationships/hyperlink" Target="https://drive.google.com/file/d/1o1xHud9Co4Bedh5zktpQoQD0KknomPmn/view?usp=drivesdk" TargetMode="External"/><Relationship Id="rId201" Type="http://schemas.openxmlformats.org/officeDocument/2006/relationships/hyperlink" Target="https://drive.google.com/file/d/18T5dDucssCSeIkvflM8QFblpCCBXhdk8/view?usp=drivesdk" TargetMode="External"/><Relationship Id="rId222" Type="http://schemas.openxmlformats.org/officeDocument/2006/relationships/hyperlink" Target="https://drive.google.com/file/d/1Gv5TlH32gFAiMEo4gsdpbTVcimaF_rjJ/view?usp=drivesdk" TargetMode="External"/><Relationship Id="rId243" Type="http://schemas.openxmlformats.org/officeDocument/2006/relationships/hyperlink" Target="https://drive.google.com/file/d/11jUPYHHBqbp0kjh0ElQ8riEctY3vnesb/view?usp=drivesdk" TargetMode="External"/><Relationship Id="rId264" Type="http://schemas.openxmlformats.org/officeDocument/2006/relationships/hyperlink" Target="https://drive.google.com/file/d/1PMznhFXqrrgEiO07FPJXyxjGFIwYzV6J/view?usp=drivesdk" TargetMode="External"/><Relationship Id="rId285" Type="http://schemas.openxmlformats.org/officeDocument/2006/relationships/hyperlink" Target="https://drive.google.com/file/d/1_yBFSp0oX8T3taTI4OCNoiZPcA5qRfV6/view?usp=drivesdk" TargetMode="External"/><Relationship Id="rId17" Type="http://schemas.openxmlformats.org/officeDocument/2006/relationships/hyperlink" Target="https://drive.google.com/file/d/1r3wKIgraBV_9prCGI_hXz2wQHPy1hXcY/view?usp=drivesdk" TargetMode="External"/><Relationship Id="rId38" Type="http://schemas.openxmlformats.org/officeDocument/2006/relationships/hyperlink" Target="https://drive.google.com/file/d/1DeDVL0C0trnB_LJl7qXY_3u8eBgAwX9k/view?usp=drivesdk" TargetMode="External"/><Relationship Id="rId59" Type="http://schemas.openxmlformats.org/officeDocument/2006/relationships/hyperlink" Target="https://drive.google.com/file/d/18DSfDb0UtddEtt0I-nEHUnmj35HRMcQ6/view?usp=drivesdk" TargetMode="External"/><Relationship Id="rId103" Type="http://schemas.openxmlformats.org/officeDocument/2006/relationships/hyperlink" Target="https://drive.google.com/file/d/1ksDls560Ig7uoyMpXkoWpxVZI8eLarVv/view?usp=drivesdk" TargetMode="External"/><Relationship Id="rId124" Type="http://schemas.openxmlformats.org/officeDocument/2006/relationships/hyperlink" Target="https://drive.google.com/file/d/1wNOYJQnvGu7y49WU8_7HClcF5n1P9FMv/view?usp=drivesdk" TargetMode="External"/><Relationship Id="rId310" Type="http://schemas.openxmlformats.org/officeDocument/2006/relationships/hyperlink" Target="https://drive.google.com/file/d/1LykV0RS5JH3REw2ExdB0Nlz6_x4kMLFy/view?usp=drivesdk" TargetMode="External"/><Relationship Id="rId70" Type="http://schemas.openxmlformats.org/officeDocument/2006/relationships/hyperlink" Target="https://drive.google.com/file/d/1r6OmV3OqV5iva_iKprKCMZu8uLCZ6jMB/view?usp=drivesdk" TargetMode="External"/><Relationship Id="rId91" Type="http://schemas.openxmlformats.org/officeDocument/2006/relationships/hyperlink" Target="https://drive.google.com/file/d/1BQTSgefllItmlWet0Zm2gglJqza_fGoz/view?usp=drivesdk" TargetMode="External"/><Relationship Id="rId145" Type="http://schemas.openxmlformats.org/officeDocument/2006/relationships/hyperlink" Target="https://drive.google.com/file/d/1XwkVe4ZWJAbLt5Eqq0m4a21Nshe-u7xt/view?usp=drivesdk" TargetMode="External"/><Relationship Id="rId166" Type="http://schemas.openxmlformats.org/officeDocument/2006/relationships/hyperlink" Target="https://drive.google.com/file/d/1iWhVqmwSHprlp94RKBBd3W7ZoYgCpffa/view?usp=drivesdk" TargetMode="External"/><Relationship Id="rId187" Type="http://schemas.openxmlformats.org/officeDocument/2006/relationships/hyperlink" Target="https://drive.google.com/file/d/1MUrb8gLJZG40t8_qNT5XUz157fxK-v3I/view?usp=drivesdk" TargetMode="External"/><Relationship Id="rId1" Type="http://schemas.openxmlformats.org/officeDocument/2006/relationships/hyperlink" Target="https://drive.google.com/file/d/1abW-oMOXpS3s_4GdVvCOTFNC9K-wfmqT/view?usp=drivesdk" TargetMode="External"/><Relationship Id="rId212" Type="http://schemas.openxmlformats.org/officeDocument/2006/relationships/hyperlink" Target="https://drive.google.com/file/d/1B4N_GqR1kCdUrM9jpznTihT8vomPhxR9/view?usp=drivesdk" TargetMode="External"/><Relationship Id="rId233" Type="http://schemas.openxmlformats.org/officeDocument/2006/relationships/hyperlink" Target="https://drive.google.com/file/d/1km4jprj_7TGuARmZ_N_8cPT5UBdtD3sa/view?usp=drivesdk" TargetMode="External"/><Relationship Id="rId254" Type="http://schemas.openxmlformats.org/officeDocument/2006/relationships/hyperlink" Target="https://drive.google.com/file/d/1rfyFLlvUb4L3oqfRbcFLHY489VQPXaeD/view?usp=drivesdk" TargetMode="External"/><Relationship Id="rId28" Type="http://schemas.openxmlformats.org/officeDocument/2006/relationships/hyperlink" Target="https://drive.google.com/file/d/1_t_4sKu7gz8VPEPI-dE7X7XQNsfEO8xO/view?usp=drivesdk" TargetMode="External"/><Relationship Id="rId49" Type="http://schemas.openxmlformats.org/officeDocument/2006/relationships/hyperlink" Target="https://drive.google.com/file/d/1EKzZse5TUZw-8iOOWowAbhAaj3eW2fIc/view?usp=drivesdk" TargetMode="External"/><Relationship Id="rId114" Type="http://schemas.openxmlformats.org/officeDocument/2006/relationships/hyperlink" Target="https://drive.google.com/file/d/1Czkg0JTonuGtwYq8qTufTAzvNPk3FQzM/view?usp=drivesdk" TargetMode="External"/><Relationship Id="rId275" Type="http://schemas.openxmlformats.org/officeDocument/2006/relationships/hyperlink" Target="https://drive.google.com/file/d/1op0dRgsT4QD3AClkEg3opg0hEY4l1_rC/view?usp=drivesdk" TargetMode="External"/><Relationship Id="rId296" Type="http://schemas.openxmlformats.org/officeDocument/2006/relationships/hyperlink" Target="https://drive.google.com/file/d/1RRqQ08Bwd8EHOe83YcJ09eHKNzeGGfvi/view?usp=drivesdk" TargetMode="External"/><Relationship Id="rId300" Type="http://schemas.openxmlformats.org/officeDocument/2006/relationships/hyperlink" Target="https://drive.google.com/file/d/1WhY2iazt7s9K2cAkZBsPKak_HoAiZsC-/view?usp=drivesdk" TargetMode="External"/><Relationship Id="rId60" Type="http://schemas.openxmlformats.org/officeDocument/2006/relationships/hyperlink" Target="https://drive.google.com/file/d/17lOyHN0tyCDmw3L6DDvhacbGDmApBww_/view?usp=drivesdk" TargetMode="External"/><Relationship Id="rId81" Type="http://schemas.openxmlformats.org/officeDocument/2006/relationships/hyperlink" Target="https://drive.google.com/file/d/1Hq-RhYQEd5LX6Beca4DcRRaymR5neUSz/view?usp=drivesdk" TargetMode="External"/><Relationship Id="rId135" Type="http://schemas.openxmlformats.org/officeDocument/2006/relationships/hyperlink" Target="https://drive.google.com/file/d/1r-rqj0sajBQ0mtjLOXou8-7mp8tn7CuN/view?usp=drivesdk" TargetMode="External"/><Relationship Id="rId156" Type="http://schemas.openxmlformats.org/officeDocument/2006/relationships/hyperlink" Target="https://drive.google.com/file/d/1AUUGc-gLjEidai2637s-qZeeoBtkEBwl/view?usp=drivesdk" TargetMode="External"/><Relationship Id="rId177" Type="http://schemas.openxmlformats.org/officeDocument/2006/relationships/hyperlink" Target="https://drive.google.com/file/d/1Ed8yyXwGUDIs-NMA59imLFMBHqZJlH9z/view?usp=drivesdk" TargetMode="External"/><Relationship Id="rId198" Type="http://schemas.openxmlformats.org/officeDocument/2006/relationships/hyperlink" Target="https://drive.google.com/file/d/1Z9IHKqK8tEYqSqXc_13IL-vrZuUaywUN/view?usp=drivesdk" TargetMode="External"/><Relationship Id="rId202" Type="http://schemas.openxmlformats.org/officeDocument/2006/relationships/hyperlink" Target="https://drive.google.com/file/d/1OpcPJUTS56RprsnP6tn8iV3YGgVS-BpV/view?usp=drivesdk" TargetMode="External"/><Relationship Id="rId223" Type="http://schemas.openxmlformats.org/officeDocument/2006/relationships/hyperlink" Target="https://drive.google.com/file/d/1CUT6SIYeYZzbknF17__mUD2Dj2yxfcl7/view?usp=drivesdk" TargetMode="External"/><Relationship Id="rId244" Type="http://schemas.openxmlformats.org/officeDocument/2006/relationships/hyperlink" Target="https://drive.google.com/file/d/1IvlJuxlLyBD0fIv-23W4mVGnZubRMREW/view?usp=drivesdk" TargetMode="External"/><Relationship Id="rId18" Type="http://schemas.openxmlformats.org/officeDocument/2006/relationships/hyperlink" Target="https://drive.google.com/file/d/1VIt2m4XK-UKVbx9cgUzaXSJcqxMEbUaB/view?usp=drivesdk" TargetMode="External"/><Relationship Id="rId39" Type="http://schemas.openxmlformats.org/officeDocument/2006/relationships/hyperlink" Target="https://drive.google.com/file/d/1W6lcfo31LWNrS0DQXtRzsRjTYEg-OWu-/view?usp=drivesdk" TargetMode="External"/><Relationship Id="rId265" Type="http://schemas.openxmlformats.org/officeDocument/2006/relationships/hyperlink" Target="https://drive.google.com/file/d/1sh8ZodvwqYNrZB4gFxuhyDA6WIXg4AaQ/view?usp=drivesdk" TargetMode="External"/><Relationship Id="rId286" Type="http://schemas.openxmlformats.org/officeDocument/2006/relationships/hyperlink" Target="https://drive.google.com/file/d/1xncsZlSemoASmree2vx3gNI0-e03lKl_/view?usp=drivesdk" TargetMode="External"/><Relationship Id="rId50" Type="http://schemas.openxmlformats.org/officeDocument/2006/relationships/hyperlink" Target="https://drive.google.com/file/d/1hrXdC95088EjpAOamemWCXvczmeuGcbj/view?usp=drivesdk" TargetMode="External"/><Relationship Id="rId104" Type="http://schemas.openxmlformats.org/officeDocument/2006/relationships/hyperlink" Target="https://drive.google.com/file/d/1Xh-JKd_sG61a2iYwivjoaYHQiQkoYKNO/view?usp=drivesdk" TargetMode="External"/><Relationship Id="rId125" Type="http://schemas.openxmlformats.org/officeDocument/2006/relationships/hyperlink" Target="https://drive.google.com/file/d/1sSaLLJPtkcQGExDoCI9Ky27rAf43qniT/view?usp=drivesdk" TargetMode="External"/><Relationship Id="rId146" Type="http://schemas.openxmlformats.org/officeDocument/2006/relationships/hyperlink" Target="https://drive.google.com/file/d/1mf03eHi-c9v3rIzFooweX7KPebAM-psv/view?usp=drivesdk" TargetMode="External"/><Relationship Id="rId167" Type="http://schemas.openxmlformats.org/officeDocument/2006/relationships/hyperlink" Target="https://drive.google.com/file/d/1EA3U8YDaR9SPcsb9TLC84yf37F-fz7TK/view?usp=drivesdk" TargetMode="External"/><Relationship Id="rId188" Type="http://schemas.openxmlformats.org/officeDocument/2006/relationships/hyperlink" Target="https://drive.google.com/file/d/1oftW3fv4Qgy1gPwlHxQ5pJA4oQb_GZh8/view?usp=drivesdk" TargetMode="External"/><Relationship Id="rId311" Type="http://schemas.openxmlformats.org/officeDocument/2006/relationships/hyperlink" Target="https://drive.google.com/file/d/1zBUSz5PaLhyPrEDSeCle7UivV721c3az/view?usp=drivesdk" TargetMode="External"/><Relationship Id="rId71" Type="http://schemas.openxmlformats.org/officeDocument/2006/relationships/hyperlink" Target="https://drive.google.com/file/d/1Yx_cZkQcKSTXxYu3AXsaMyht92G1B-AR/view?usp=drivesdk" TargetMode="External"/><Relationship Id="rId92" Type="http://schemas.openxmlformats.org/officeDocument/2006/relationships/hyperlink" Target="https://drive.google.com/file/d/1v26HrNoMHkUfENPyaTfOmJkREhITYoM1/view?usp=drivesdk" TargetMode="External"/><Relationship Id="rId213" Type="http://schemas.openxmlformats.org/officeDocument/2006/relationships/hyperlink" Target="https://drive.google.com/file/d/18flJNC8n_gXd0dNeXjmBllu1FQjPkn4F/view?usp=drivesdk" TargetMode="External"/><Relationship Id="rId234" Type="http://schemas.openxmlformats.org/officeDocument/2006/relationships/hyperlink" Target="https://drive.google.com/file/d/122En3X7BIEyYhyJ12Ar4HA76M3EVPkfo/view?usp=drivesdk" TargetMode="External"/><Relationship Id="rId2" Type="http://schemas.openxmlformats.org/officeDocument/2006/relationships/hyperlink" Target="https://drive.google.com/file/d/1Z6n4BfaAPY4EUeOnNE-9M4dXMgytcZhw/view?usp=drivesdk" TargetMode="External"/><Relationship Id="rId29" Type="http://schemas.openxmlformats.org/officeDocument/2006/relationships/hyperlink" Target="https://drive.google.com/file/d/1g90aDz0Dqhi8Y7JqaxrvGhqUrl9nqPZY/view?usp=drivesdk" TargetMode="External"/><Relationship Id="rId255" Type="http://schemas.openxmlformats.org/officeDocument/2006/relationships/hyperlink" Target="https://drive.google.com/file/d/1tcvWq3PM-UkfS-8ZH6XrvXyyPYKn512-/view?usp=drivesdk" TargetMode="External"/><Relationship Id="rId276" Type="http://schemas.openxmlformats.org/officeDocument/2006/relationships/hyperlink" Target="https://drive.google.com/file/d/1X-V1xfbBjtxjmssu3xh3NQJ2byRkIFNl/view?usp=drivesdk" TargetMode="External"/><Relationship Id="rId297" Type="http://schemas.openxmlformats.org/officeDocument/2006/relationships/hyperlink" Target="https://drive.google.com/file/d/1Bi_b22d3pRCQWm-sXxO05p6WZe4uP7-9/view?usp=drivesdk" TargetMode="External"/><Relationship Id="rId40" Type="http://schemas.openxmlformats.org/officeDocument/2006/relationships/hyperlink" Target="https://drive.google.com/file/d/1Of_jghn2xmidU4OJ21FmvwLl9lcvVfMm/view?usp=drivesdk" TargetMode="External"/><Relationship Id="rId115" Type="http://schemas.openxmlformats.org/officeDocument/2006/relationships/hyperlink" Target="https://drive.google.com/file/d/1vDlOv5AtxK5RmT3zdfYn2P3KBc59V4qw/view?usp=drivesdk" TargetMode="External"/><Relationship Id="rId136" Type="http://schemas.openxmlformats.org/officeDocument/2006/relationships/hyperlink" Target="https://drive.google.com/file/d/1kQxLZZq7SGyI_0IykcucwA2mXU99SDkB/view?usp=drivesdk" TargetMode="External"/><Relationship Id="rId157" Type="http://schemas.openxmlformats.org/officeDocument/2006/relationships/hyperlink" Target="https://drive.google.com/file/d/1U5fn0C5y2UQ_XscEIcx6b_mrUq4u803D/view?usp=drivesdk" TargetMode="External"/><Relationship Id="rId178" Type="http://schemas.openxmlformats.org/officeDocument/2006/relationships/hyperlink" Target="https://drive.google.com/file/d/1l-792Sf9p5-l-rT40KBvA0zAwrLyW3JT/view?usp=drivesdk" TargetMode="External"/><Relationship Id="rId301" Type="http://schemas.openxmlformats.org/officeDocument/2006/relationships/hyperlink" Target="https://drive.google.com/file/d/15sRd4V43D0yb7AsLgOJtuB3g2wr2Er25/view?usp=drivesdk" TargetMode="External"/><Relationship Id="rId61" Type="http://schemas.openxmlformats.org/officeDocument/2006/relationships/hyperlink" Target="https://drive.google.com/file/d/1n_qlItDsULGR9l0IafCOn1HLIV0EhldL/view?usp=drivesdk" TargetMode="External"/><Relationship Id="rId82" Type="http://schemas.openxmlformats.org/officeDocument/2006/relationships/hyperlink" Target="https://drive.google.com/file/d/1Jclb2AHTSYvKgI1b5SbN2EZ3Habr3ruy/view?usp=drivesdk" TargetMode="External"/><Relationship Id="rId199" Type="http://schemas.openxmlformats.org/officeDocument/2006/relationships/hyperlink" Target="https://drive.google.com/file/d/12FsBGoqrvfc10bjQMU0B9RB40UhnN7ce/view?usp=drivesdk" TargetMode="External"/><Relationship Id="rId203" Type="http://schemas.openxmlformats.org/officeDocument/2006/relationships/hyperlink" Target="https://drive.google.com/file/d/1l557lp2uLTSnONuil2lCbWdZpqW3UGCi/view?usp=drivesdk" TargetMode="External"/><Relationship Id="rId19" Type="http://schemas.openxmlformats.org/officeDocument/2006/relationships/hyperlink" Target="https://drive.google.com/file/d/1gw7fyIBKY2FgjMLA8IouQSlH3vAkMkHs/view?usp=drivesdk" TargetMode="External"/><Relationship Id="rId224" Type="http://schemas.openxmlformats.org/officeDocument/2006/relationships/hyperlink" Target="https://drive.google.com/file/d/1bcC6biGPwNhr4YZkb14nRma_Zp7wIOdv/view?usp=drivesdk" TargetMode="External"/><Relationship Id="rId245" Type="http://schemas.openxmlformats.org/officeDocument/2006/relationships/hyperlink" Target="https://drive.google.com/file/d/1V6rEvKDHFol5GeQD3clu2Dva6dENT2qw/view?usp=drivesdk" TargetMode="External"/><Relationship Id="rId266" Type="http://schemas.openxmlformats.org/officeDocument/2006/relationships/hyperlink" Target="https://drive.google.com/file/d/1hLDyvpowUgmpAUOADIptQoOTcuWb0Lyk/view?usp=drivesdk" TargetMode="External"/><Relationship Id="rId287" Type="http://schemas.openxmlformats.org/officeDocument/2006/relationships/hyperlink" Target="https://drive.google.com/file/d/17p2BpFnM_Lw1AH-vVC3NULZlVu34dAPW/view?usp=drivesdk" TargetMode="External"/><Relationship Id="rId30" Type="http://schemas.openxmlformats.org/officeDocument/2006/relationships/hyperlink" Target="https://drive.google.com/file/d/1f9Mhb3VbcH4-mMDAnfBGAdeCwF27LlN6/view?usp=drivesdk" TargetMode="External"/><Relationship Id="rId105" Type="http://schemas.openxmlformats.org/officeDocument/2006/relationships/hyperlink" Target="https://drive.google.com/file/d/1CvODjStLs0OLdnnu06ligAxztuXYW_aw/view?usp=drivesdk" TargetMode="External"/><Relationship Id="rId126" Type="http://schemas.openxmlformats.org/officeDocument/2006/relationships/hyperlink" Target="https://drive.google.com/file/d/1nPfMWN9zehEdG-QZvO5oIprVj7CiyXRl/view?usp=drivesdk" TargetMode="External"/><Relationship Id="rId147" Type="http://schemas.openxmlformats.org/officeDocument/2006/relationships/hyperlink" Target="https://drive.google.com/file/d/1_99G4ubPZYvVLy7Ny-GHY73lhxlmvbqw/view?usp=drivesdk" TargetMode="External"/><Relationship Id="rId168" Type="http://schemas.openxmlformats.org/officeDocument/2006/relationships/hyperlink" Target="https://drive.google.com/file/d/1U2rSH110IHU8VqBtAdOj0F66KSJFYWp_/view?usp=drivesdk" TargetMode="External"/><Relationship Id="rId312" Type="http://schemas.openxmlformats.org/officeDocument/2006/relationships/hyperlink" Target="https://drive.google.com/file/d/1nWiTWYkGhg6ZDSz64eMZeYzZXk34mLeW/view?usp=drivesdk" TargetMode="External"/><Relationship Id="rId51" Type="http://schemas.openxmlformats.org/officeDocument/2006/relationships/hyperlink" Target="https://drive.google.com/file/d/1Yq_gB4dlFZn8IBpYngnIQqXLjCTEs5s7/view?usp=drivesdk" TargetMode="External"/><Relationship Id="rId72" Type="http://schemas.openxmlformats.org/officeDocument/2006/relationships/hyperlink" Target="https://drive.google.com/file/d/1s4wnk2C8KVpljVI7JZdWVeOtFveb6FtN/view?usp=drivesdk" TargetMode="External"/><Relationship Id="rId93" Type="http://schemas.openxmlformats.org/officeDocument/2006/relationships/hyperlink" Target="https://drive.google.com/file/d/14fDqeTRXuIDoC8-vziPX726Fll2IDwdu/view?usp=drivesdk" TargetMode="External"/><Relationship Id="rId189" Type="http://schemas.openxmlformats.org/officeDocument/2006/relationships/hyperlink" Target="https://drive.google.com/file/d/1MQqRcyVg21aWg4ayupESa-ohvmAfiJ8W/view?usp=drivesdk" TargetMode="External"/><Relationship Id="rId3" Type="http://schemas.openxmlformats.org/officeDocument/2006/relationships/hyperlink" Target="https://drive.google.com/file/d/1QWm8i65OZuKFx4So-pEMYfci4t8G4MZU/view?usp=drivesdk" TargetMode="External"/><Relationship Id="rId214" Type="http://schemas.openxmlformats.org/officeDocument/2006/relationships/hyperlink" Target="https://drive.google.com/file/d/1hbjmh1_bknJPgc-L-H7Ol6u6VN8Ntz-W/view?usp=drivesdk" TargetMode="External"/><Relationship Id="rId235" Type="http://schemas.openxmlformats.org/officeDocument/2006/relationships/hyperlink" Target="https://drive.google.com/file/d/1lXnAx_UUvFdJ3Wt3ebFlGuv_RmzvCKv8/view?usp=drivesdk" TargetMode="External"/><Relationship Id="rId256" Type="http://schemas.openxmlformats.org/officeDocument/2006/relationships/hyperlink" Target="https://drive.google.com/file/d/1--mGKWCH61aleCgrYpm0LwrC4pyMKhMX/view?usp=drivesdk" TargetMode="External"/><Relationship Id="rId277" Type="http://schemas.openxmlformats.org/officeDocument/2006/relationships/hyperlink" Target="https://drive.google.com/file/d/1Y0dwZq13kloKEwDNJw1m2XOUdJkLHSli/view?usp=drivesdk" TargetMode="External"/><Relationship Id="rId298" Type="http://schemas.openxmlformats.org/officeDocument/2006/relationships/hyperlink" Target="https://drive.google.com/file/d/1MciuiQIKFb6JQhJzF1CnfZVqWYqBuriB/view?usp=drivesdk" TargetMode="External"/><Relationship Id="rId116" Type="http://schemas.openxmlformats.org/officeDocument/2006/relationships/hyperlink" Target="https://drive.google.com/file/d/1r_8kCuX7JXbMXZ7BOhcgwDIRFsBYsjne/view?usp=drivesdk" TargetMode="External"/><Relationship Id="rId137" Type="http://schemas.openxmlformats.org/officeDocument/2006/relationships/hyperlink" Target="https://drive.google.com/file/d/12nbpg1XJaIb86hrU4StyB_k1t50OfM9W/view?usp=drivesdk" TargetMode="External"/><Relationship Id="rId158" Type="http://schemas.openxmlformats.org/officeDocument/2006/relationships/hyperlink" Target="https://drive.google.com/file/d/1Vjsog0cRNW3f9s8ybfMDqCE6iSnoM5dB/view?usp=drivesdk" TargetMode="External"/><Relationship Id="rId302" Type="http://schemas.openxmlformats.org/officeDocument/2006/relationships/hyperlink" Target="https://drive.google.com/file/d/1J-TzWCBTjt35sjh_NuMVsy_rAGwcfRnY/view?usp=drivesdk" TargetMode="External"/><Relationship Id="rId20" Type="http://schemas.openxmlformats.org/officeDocument/2006/relationships/hyperlink" Target="https://drive.google.com/file/d/11SiQpgue7bTguuuF-WXlkRC_KpeN0KU1/view?usp=drivesdk" TargetMode="External"/><Relationship Id="rId41" Type="http://schemas.openxmlformats.org/officeDocument/2006/relationships/hyperlink" Target="https://drive.google.com/file/d/1gMd1q6NA_NMFNxBLAc90STHQWpUeZ6n7/view?usp=drivesdk" TargetMode="External"/><Relationship Id="rId62" Type="http://schemas.openxmlformats.org/officeDocument/2006/relationships/hyperlink" Target="https://drive.google.com/file/d/11-WadQx3nRpztZpOyS9EjaZoYMeVHJBs/view?usp=drivesdk" TargetMode="External"/><Relationship Id="rId83" Type="http://schemas.openxmlformats.org/officeDocument/2006/relationships/hyperlink" Target="https://drive.google.com/file/d/1Kt_H67TsRATDbPSndyRecPYT5EjjaPCm/view?usp=drivesdk" TargetMode="External"/><Relationship Id="rId179" Type="http://schemas.openxmlformats.org/officeDocument/2006/relationships/hyperlink" Target="https://drive.google.com/file/d/1l_xWrSsEW5tJLiFNODXZTbV7HrToHCB6/view?usp=drivesdk" TargetMode="External"/><Relationship Id="rId190" Type="http://schemas.openxmlformats.org/officeDocument/2006/relationships/hyperlink" Target="https://drive.google.com/file/d/11_dPNlt9cNFKOkeDaU-Pr4eXIVDcO3FC/view?usp=drivesdk" TargetMode="External"/><Relationship Id="rId204" Type="http://schemas.openxmlformats.org/officeDocument/2006/relationships/hyperlink" Target="https://drive.google.com/file/d/1-G6IhnJBZfTEKNm3vZobuddhdi25HDb3/view?usp=drivesdk" TargetMode="External"/><Relationship Id="rId225" Type="http://schemas.openxmlformats.org/officeDocument/2006/relationships/hyperlink" Target="https://drive.google.com/file/d/1qQ-2Keej3eAbXww7-rrzHyWV2Iwvm_WD/view?usp=drivesdk" TargetMode="External"/><Relationship Id="rId246" Type="http://schemas.openxmlformats.org/officeDocument/2006/relationships/hyperlink" Target="https://drive.google.com/file/d/1MiUhjL2-AX5qEQfgQhPfykHCe_HYQtA7/view?usp=drivesdk" TargetMode="External"/><Relationship Id="rId267" Type="http://schemas.openxmlformats.org/officeDocument/2006/relationships/hyperlink" Target="https://drive.google.com/file/d/1rX-qVUpSbDcF67YSosMaqa6Ggclr1GYp/view?usp=drivesdk" TargetMode="External"/><Relationship Id="rId288" Type="http://schemas.openxmlformats.org/officeDocument/2006/relationships/hyperlink" Target="https://drive.google.com/file/d/1cUvwou27LgMj0Cj_makLW1PbHhbhkNfZ/view?usp=drivesdk" TargetMode="External"/><Relationship Id="rId106" Type="http://schemas.openxmlformats.org/officeDocument/2006/relationships/hyperlink" Target="https://drive.google.com/file/d/1Z5TFNHDXwjD-tAer9PtPHGihvt-1NDvC/view?usp=drivesdk" TargetMode="External"/><Relationship Id="rId127" Type="http://schemas.openxmlformats.org/officeDocument/2006/relationships/hyperlink" Target="https://drive.google.com/file/d/1n9fI9EVq8bQ2J1TgzBHHp8PGpaQ2aLHf/view?usp=drivesdk" TargetMode="External"/><Relationship Id="rId313" Type="http://schemas.openxmlformats.org/officeDocument/2006/relationships/hyperlink" Target="https://drive.google.com/file/d/1la7Qs2Q8nCqqjvj1XgKjq3e9Gb38LqSP/view?usp=drivesdk" TargetMode="External"/><Relationship Id="rId10" Type="http://schemas.openxmlformats.org/officeDocument/2006/relationships/hyperlink" Target="https://drive.google.com/file/d/1ENQKVJibb7I3PT-mu-xXQBM44I9cDu7o/view?usp=drivesdk" TargetMode="External"/><Relationship Id="rId31" Type="http://schemas.openxmlformats.org/officeDocument/2006/relationships/hyperlink" Target="https://drive.google.com/file/d/1hK_0Nkjhv0W1hddAekvbN7yq1BygwT2J/view?usp=drivesdk" TargetMode="External"/><Relationship Id="rId52" Type="http://schemas.openxmlformats.org/officeDocument/2006/relationships/hyperlink" Target="https://drive.google.com/file/d/1FSioMssuv4bulIgmaLV6tt5_4tE4X7HO/view?usp=drivesdk" TargetMode="External"/><Relationship Id="rId73" Type="http://schemas.openxmlformats.org/officeDocument/2006/relationships/hyperlink" Target="https://drive.google.com/file/d/1S_0jxr7iAADs4rwmdv43AznLJquq6oFF/view?usp=drivesdk" TargetMode="External"/><Relationship Id="rId94" Type="http://schemas.openxmlformats.org/officeDocument/2006/relationships/hyperlink" Target="https://drive.google.com/file/d/1DCafZelKvVBUFrg1ZHp3m2SVL5_GTkGK/view?usp=drivesdk" TargetMode="External"/><Relationship Id="rId148" Type="http://schemas.openxmlformats.org/officeDocument/2006/relationships/hyperlink" Target="https://drive.google.com/file/d/1xTVgg9Ap9-m23C6AHLBGvU3CkC_qfAFf/view?usp=drivesdk" TargetMode="External"/><Relationship Id="rId169" Type="http://schemas.openxmlformats.org/officeDocument/2006/relationships/hyperlink" Target="https://drive.google.com/file/d/196SE0mOoGYoZihQT_zfO6__khog4k9ZJ/view?usp=drivesdk" TargetMode="External"/><Relationship Id="rId4" Type="http://schemas.openxmlformats.org/officeDocument/2006/relationships/hyperlink" Target="https://drive.google.com/file/d/1hwOl_Hne9f4SQKv4_zRBORIqqccR_SGF/view?usp=drivesdk" TargetMode="External"/><Relationship Id="rId180" Type="http://schemas.openxmlformats.org/officeDocument/2006/relationships/hyperlink" Target="https://drive.google.com/file/d/1dvNpr5QQalLjxALjM8A4BfnLCwSlHHAW/view?usp=drivesdk" TargetMode="External"/><Relationship Id="rId215" Type="http://schemas.openxmlformats.org/officeDocument/2006/relationships/hyperlink" Target="https://drive.google.com/file/d/1EsX9ZNlyLMtARscFBNlpTJJDkEd7UQFf/view?usp=drivesdk" TargetMode="External"/><Relationship Id="rId236" Type="http://schemas.openxmlformats.org/officeDocument/2006/relationships/hyperlink" Target="https://drive.google.com/file/d/1zOyQLQpX45AdR2XdfHMS-mFA7FZv2WX9/view?usp=drivesdk" TargetMode="External"/><Relationship Id="rId257" Type="http://schemas.openxmlformats.org/officeDocument/2006/relationships/hyperlink" Target="https://drive.google.com/file/d/16IRovo8lqNw1oHuUYYoDLVzv_4MNBwJT/view?usp=drivesdk" TargetMode="External"/><Relationship Id="rId278" Type="http://schemas.openxmlformats.org/officeDocument/2006/relationships/hyperlink" Target="https://drive.google.com/file/d/1tjH4HqrEVecgRXcuxmfdpdwX-gjw9Amk/view?usp=drivesdk" TargetMode="External"/><Relationship Id="rId303" Type="http://schemas.openxmlformats.org/officeDocument/2006/relationships/hyperlink" Target="https://drive.google.com/file/d/1dq0FKBP5nkqVdvhozCXZx0k1IAYRRcsk/view?usp=drivesdk" TargetMode="External"/><Relationship Id="rId42" Type="http://schemas.openxmlformats.org/officeDocument/2006/relationships/hyperlink" Target="https://drive.google.com/file/d/1kEQ3-ZyBYOtrrd7yBYyeT8sheJ3z8NnF/view?usp=drivesdk" TargetMode="External"/><Relationship Id="rId84" Type="http://schemas.openxmlformats.org/officeDocument/2006/relationships/hyperlink" Target="https://drive.google.com/file/d/1V6afMiUU_u20J6Fpr_x_RoT7yK_sz9FD/view?usp=drivesdk" TargetMode="External"/><Relationship Id="rId138" Type="http://schemas.openxmlformats.org/officeDocument/2006/relationships/hyperlink" Target="https://drive.google.com/file/d/1TYIdtD38pVAp4ZvAkEhW5KFMnNWV2UtZ/view?usp=drivesdk" TargetMode="External"/><Relationship Id="rId191" Type="http://schemas.openxmlformats.org/officeDocument/2006/relationships/hyperlink" Target="https://drive.google.com/file/d/17yDu5yUV_i2n3imNVNnuYQKzviBdfrT-/view?usp=drivesdk" TargetMode="External"/><Relationship Id="rId205" Type="http://schemas.openxmlformats.org/officeDocument/2006/relationships/hyperlink" Target="https://drive.google.com/file/d/1Oj7I3ao7FiLyJQ3xrTPSkNwKBIfxb8HH/view?usp=drivesdk" TargetMode="External"/><Relationship Id="rId247" Type="http://schemas.openxmlformats.org/officeDocument/2006/relationships/hyperlink" Target="https://drive.google.com/file/d/17iAo3i7Ece5b7AnAdnv27CmMNo9vBp9h/view?usp=drivesdk" TargetMode="External"/><Relationship Id="rId107" Type="http://schemas.openxmlformats.org/officeDocument/2006/relationships/hyperlink" Target="https://drive.google.com/file/d/1zrjtGp4chHNUIa_ikP9aJoteTFQdfWfU/view?usp=drivesdk" TargetMode="External"/><Relationship Id="rId289" Type="http://schemas.openxmlformats.org/officeDocument/2006/relationships/hyperlink" Target="https://drive.google.com/file/d/1FoAuFbiw52ogLQ4cuRXgppCyQdL0nhse/view?usp=drivesdk" TargetMode="External"/><Relationship Id="rId11" Type="http://schemas.openxmlformats.org/officeDocument/2006/relationships/hyperlink" Target="https://drive.google.com/file/d/107-KMuYq5-sQW_eMlKvFwWrHDpKdMQiT/view?usp=drivesdk" TargetMode="External"/><Relationship Id="rId53" Type="http://schemas.openxmlformats.org/officeDocument/2006/relationships/hyperlink" Target="https://drive.google.com/file/d/1qvXTRPOJQbq1A8Tnn1eKWnQB0QobJYTc/view?usp=drivesdk" TargetMode="External"/><Relationship Id="rId149" Type="http://schemas.openxmlformats.org/officeDocument/2006/relationships/hyperlink" Target="https://drive.google.com/file/d/1dfVdRrtVQw5hKKNPOiEN1n7Lx4GywgmL/view?usp=drivesdk" TargetMode="External"/><Relationship Id="rId314" Type="http://schemas.openxmlformats.org/officeDocument/2006/relationships/hyperlink" Target="https://drive.google.com/file/d/1yKB2Tl8TSt95qyYFH-2o8hLsLSrCIz9M/view?usp=drivesdk" TargetMode="External"/><Relationship Id="rId95" Type="http://schemas.openxmlformats.org/officeDocument/2006/relationships/hyperlink" Target="https://drive.google.com/file/d/17QtXx257-X_lOjVArzPeabV2snqkYMyG/view?usp=drivesdk" TargetMode="External"/><Relationship Id="rId160" Type="http://schemas.openxmlformats.org/officeDocument/2006/relationships/hyperlink" Target="https://drive.google.com/file/d/16TEtZtXl4BNN3e1DxFTGyunEuS2p2hWz/view?usp=drivesdk" TargetMode="External"/><Relationship Id="rId216" Type="http://schemas.openxmlformats.org/officeDocument/2006/relationships/hyperlink" Target="https://drive.google.com/file/d/1TUxk9YADjdOqY_hqJFCbyvsF2lXr34sA/view?usp=drivesdk" TargetMode="External"/><Relationship Id="rId258" Type="http://schemas.openxmlformats.org/officeDocument/2006/relationships/hyperlink" Target="https://drive.google.com/file/d/1oKIEBBxu_A03O-r6m2gtxYpBnRNAqRbg/view?usp=drivesdk" TargetMode="External"/><Relationship Id="rId22" Type="http://schemas.openxmlformats.org/officeDocument/2006/relationships/hyperlink" Target="https://drive.google.com/file/d/1YaFMVKvL1j0k2cbWH0bT8F47XeG_IDO6/view?usp=drivesdk" TargetMode="External"/><Relationship Id="rId64" Type="http://schemas.openxmlformats.org/officeDocument/2006/relationships/hyperlink" Target="https://drive.google.com/file/d/1cau3qS_qBy2kbdpo6OWlw4ufMF3OWwgA/view?usp=drivesdk" TargetMode="External"/><Relationship Id="rId118" Type="http://schemas.openxmlformats.org/officeDocument/2006/relationships/hyperlink" Target="https://drive.google.com/file/d/1tDWLE0xrxy1BpSWqaw35qY8LYmmoqSSb/view?usp=drivesdk" TargetMode="External"/><Relationship Id="rId171" Type="http://schemas.openxmlformats.org/officeDocument/2006/relationships/hyperlink" Target="https://drive.google.com/file/d/1cdb0HtlFgsxrlBrhW71ewHWQeRSO878U/view?usp=drivesdk" TargetMode="External"/><Relationship Id="rId227" Type="http://schemas.openxmlformats.org/officeDocument/2006/relationships/hyperlink" Target="https://drive.google.com/file/d/1_Dn7bll42-GHL9OMykFWXJBJgyf2FdR3/view?usp=drivesdk" TargetMode="External"/><Relationship Id="rId269" Type="http://schemas.openxmlformats.org/officeDocument/2006/relationships/hyperlink" Target="https://drive.google.com/file/d/1bVGdYIkbwcyxPkS9vVhItMq0gz1ujSBG/view?usp=drivesdk" TargetMode="External"/><Relationship Id="rId33" Type="http://schemas.openxmlformats.org/officeDocument/2006/relationships/hyperlink" Target="https://drive.google.com/file/d/1r_7KcvWkiSW-ZG5E6MnaaF9N7edlh4Yc/view?usp=drivesdk" TargetMode="External"/><Relationship Id="rId129" Type="http://schemas.openxmlformats.org/officeDocument/2006/relationships/hyperlink" Target="https://drive.google.com/file/d/1JhyCipoK86IgoiP05ajXM_t7AG-umUQ6/view?usp=drivesdk" TargetMode="External"/><Relationship Id="rId280" Type="http://schemas.openxmlformats.org/officeDocument/2006/relationships/hyperlink" Target="https://drive.google.com/file/d/1oQIljFO67UpCJgxffxalgK4odnqM6Ct9/view?usp=drivesdk" TargetMode="External"/><Relationship Id="rId75" Type="http://schemas.openxmlformats.org/officeDocument/2006/relationships/hyperlink" Target="https://drive.google.com/file/d/1pnrtTgDUVQK47su1ZWqE8JrHTpc_Hxrz/view?usp=drivesdk" TargetMode="External"/><Relationship Id="rId140" Type="http://schemas.openxmlformats.org/officeDocument/2006/relationships/hyperlink" Target="https://drive.google.com/file/d/1CTLKz5J-xRCl3DWBGGjaRdsh-QxZj9Gd/view?usp=drivesdk" TargetMode="External"/><Relationship Id="rId182" Type="http://schemas.openxmlformats.org/officeDocument/2006/relationships/hyperlink" Target="https://drive.google.com/file/d/1jV5qpGaziZjdPpMWCgZJhLPwKH2mG6b8/view?usp=drivesdk" TargetMode="External"/><Relationship Id="rId6" Type="http://schemas.openxmlformats.org/officeDocument/2006/relationships/hyperlink" Target="https://drive.google.com/file/d/1i0En2iEj723IhVjQ-bVITTBpRwReDgL-/view?usp=drivesdk" TargetMode="External"/><Relationship Id="rId238" Type="http://schemas.openxmlformats.org/officeDocument/2006/relationships/hyperlink" Target="https://drive.google.com/file/d/1s9vUTd6OQMDfUrtJoiy5tiG87k1A56T2/view?usp=drivesdk" TargetMode="External"/><Relationship Id="rId291" Type="http://schemas.openxmlformats.org/officeDocument/2006/relationships/hyperlink" Target="https://drive.google.com/file/d/1k_6A2razrlfqKxwqNYy4i1Z_R7ZJacNL/view?usp=drivesdk" TargetMode="External"/><Relationship Id="rId305" Type="http://schemas.openxmlformats.org/officeDocument/2006/relationships/hyperlink" Target="https://drive.google.com/file/d/1Pg0mU-O8Te-FwMSHiYSzmGU7YyYe232J/view?usp=drivesdk" TargetMode="External"/><Relationship Id="rId44" Type="http://schemas.openxmlformats.org/officeDocument/2006/relationships/hyperlink" Target="https://drive.google.com/file/d/1nERCLBCm0dh67Lx75MAbI2hq6GckOU3n/view?usp=drivesdk" TargetMode="External"/><Relationship Id="rId86" Type="http://schemas.openxmlformats.org/officeDocument/2006/relationships/hyperlink" Target="https://drive.google.com/file/d/1WjN1hzx7-pB0wyOLgWsL_9XeshD_s7yS/view?usp=drivesdk" TargetMode="External"/><Relationship Id="rId151" Type="http://schemas.openxmlformats.org/officeDocument/2006/relationships/hyperlink" Target="https://drive.google.com/file/d/1-P5tVEx1fzTl47FIpjn3nS_wqsLoJRYr/view?usp=drivesdk" TargetMode="External"/><Relationship Id="rId193" Type="http://schemas.openxmlformats.org/officeDocument/2006/relationships/hyperlink" Target="https://drive.google.com/file/d/1sIYxI4fWAIt845ygdcFtbXnr4ZDXJkYk/view?usp=drivesdk" TargetMode="External"/><Relationship Id="rId207" Type="http://schemas.openxmlformats.org/officeDocument/2006/relationships/hyperlink" Target="https://drive.google.com/file/d/1IeyUzU6ZjaEa56OKSaDdUU2_I7ZRSEJy/view?usp=drivesdk" TargetMode="External"/><Relationship Id="rId249" Type="http://schemas.openxmlformats.org/officeDocument/2006/relationships/hyperlink" Target="https://drive.google.com/file/d/1kKQraI2wJk_HFbOtOjLEqLmV83B7892h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CCE4"/>
  </sheetPr>
  <dimension ref="A1:Z1000"/>
  <sheetViews>
    <sheetView workbookViewId="0">
      <selection activeCell="F2" sqref="F2"/>
    </sheetView>
  </sheetViews>
  <sheetFormatPr defaultColWidth="13.85546875" defaultRowHeight="15"/>
  <cols>
    <col min="1" max="1" width="9.7109375" bestFit="1" customWidth="1"/>
    <col min="2" max="2" width="76.42578125" bestFit="1" customWidth="1"/>
    <col min="3" max="3" width="79.5703125" bestFit="1" customWidth="1"/>
    <col min="4" max="4" width="10.42578125" bestFit="1" customWidth="1"/>
  </cols>
  <sheetData>
    <row r="1" spans="1:26" ht="39.75">
      <c r="A1" s="133" t="s">
        <v>0</v>
      </c>
      <c r="B1" s="134"/>
      <c r="C1" s="134"/>
      <c r="D1" s="13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9.25">
      <c r="A2" s="2" t="s">
        <v>1</v>
      </c>
      <c r="B2" s="2" t="s">
        <v>2</v>
      </c>
      <c r="C2" s="2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>
      <c r="A3" s="4">
        <v>1</v>
      </c>
      <c r="B3" s="5" t="s">
        <v>5</v>
      </c>
      <c r="C3" s="6" t="s">
        <v>6</v>
      </c>
      <c r="D3" s="7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75">
      <c r="A4" s="4">
        <v>2</v>
      </c>
      <c r="B4" s="8" t="s">
        <v>8</v>
      </c>
      <c r="C4" s="9" t="s">
        <v>9</v>
      </c>
      <c r="D4" s="7" t="s">
        <v>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.75">
      <c r="A5" s="4">
        <v>3</v>
      </c>
      <c r="B5" s="8" t="s">
        <v>11</v>
      </c>
      <c r="C5" s="9" t="s">
        <v>12</v>
      </c>
      <c r="D5" s="7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75">
      <c r="A6" s="4">
        <v>4</v>
      </c>
      <c r="B6" s="8" t="s">
        <v>14</v>
      </c>
      <c r="C6" s="9" t="s">
        <v>15</v>
      </c>
      <c r="D6" s="7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>
      <c r="A7" s="4">
        <v>5</v>
      </c>
      <c r="B7" s="8" t="s">
        <v>17</v>
      </c>
      <c r="C7" s="9" t="s">
        <v>18</v>
      </c>
      <c r="D7" s="7" t="s">
        <v>19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>
      <c r="A8" s="4">
        <v>6</v>
      </c>
      <c r="B8" s="8" t="s">
        <v>20</v>
      </c>
      <c r="C8" s="9" t="s">
        <v>21</v>
      </c>
      <c r="D8" s="7" t="s">
        <v>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>
      <c r="A9" s="4">
        <v>7</v>
      </c>
      <c r="B9" s="8" t="s">
        <v>23</v>
      </c>
      <c r="C9" s="9" t="s">
        <v>24</v>
      </c>
      <c r="D9" s="7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>
      <c r="A10" s="4">
        <v>8</v>
      </c>
      <c r="B10" s="8" t="s">
        <v>26</v>
      </c>
      <c r="C10" s="9" t="s">
        <v>27</v>
      </c>
      <c r="D10" s="7" t="s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>
      <c r="A11" s="4">
        <v>9</v>
      </c>
      <c r="B11" s="8" t="s">
        <v>29</v>
      </c>
      <c r="C11" s="9" t="s">
        <v>30</v>
      </c>
      <c r="D11" s="7" t="s">
        <v>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>
      <c r="A12" s="4">
        <v>10</v>
      </c>
      <c r="B12" s="8" t="s">
        <v>32</v>
      </c>
      <c r="C12" s="9" t="s">
        <v>33</v>
      </c>
      <c r="D12" s="7" t="s">
        <v>34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>
      <c r="A13" s="4">
        <v>11</v>
      </c>
      <c r="B13" s="10" t="s">
        <v>35</v>
      </c>
      <c r="C13" s="9" t="s">
        <v>36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>
      <c r="A14" s="4">
        <v>12</v>
      </c>
      <c r="B14" s="8" t="s">
        <v>37</v>
      </c>
      <c r="C14" s="9" t="s">
        <v>38</v>
      </c>
      <c r="D14" s="7" t="s">
        <v>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>
      <c r="A15" s="4">
        <v>13</v>
      </c>
      <c r="B15" s="8" t="s">
        <v>40</v>
      </c>
      <c r="C15" s="9" t="s">
        <v>41</v>
      </c>
      <c r="D15" s="7" t="s">
        <v>42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>
      <c r="A16" s="4">
        <v>14</v>
      </c>
      <c r="B16" s="8" t="s">
        <v>43</v>
      </c>
      <c r="C16" s="9" t="s">
        <v>44</v>
      </c>
      <c r="D16" s="7" t="s">
        <v>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>
      <c r="A17" s="4">
        <v>15</v>
      </c>
      <c r="B17" s="8" t="s">
        <v>46</v>
      </c>
      <c r="C17" s="9" t="s">
        <v>47</v>
      </c>
      <c r="D17" s="7" t="s">
        <v>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>
      <c r="A18" s="4">
        <v>16</v>
      </c>
      <c r="B18" s="10" t="s">
        <v>49</v>
      </c>
      <c r="C18" s="9" t="s">
        <v>50</v>
      </c>
      <c r="D18" s="7" t="s">
        <v>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9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9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9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9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9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9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9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9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9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9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9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9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9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9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9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9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9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9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9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9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9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9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9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9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9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9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9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9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9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9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9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9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9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9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9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9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9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9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9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9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9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9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9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9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9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9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9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9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9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9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9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9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9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9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9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9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9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9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9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9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9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9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9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9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9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9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9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9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9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9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9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9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9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9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9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9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9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9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9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9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9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9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9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9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9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9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9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9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9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9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9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9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9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9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9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9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9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9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9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9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9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9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9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9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9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9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9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9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9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9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9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9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9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9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9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9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9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9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9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9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9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9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9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9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9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9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9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9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9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9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9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9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9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9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9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9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9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9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9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9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9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9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9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9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9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9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9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9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9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9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9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9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9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9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9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9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9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9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9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9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9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9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9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9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9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9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9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9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9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9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9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9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9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9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9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9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9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9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9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9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9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9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9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9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9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9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9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9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9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9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9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9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9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9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9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9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9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9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9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9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9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9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9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9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9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9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9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9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9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9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9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9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9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9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9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9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9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9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9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9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9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9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9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9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9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9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9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9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9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9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9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9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9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9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9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9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9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9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9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9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9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9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9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9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9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9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9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9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9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9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9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9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9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9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9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9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9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9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9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9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9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9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9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9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9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9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9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9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9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9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9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9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9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9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9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9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9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9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9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9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9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9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9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9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9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9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9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9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9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9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9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9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9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9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9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9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9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9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9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9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9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9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9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9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9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9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9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9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9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9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9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9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9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9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9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9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9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9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9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9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9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9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9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9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9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9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9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9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9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9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9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9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9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9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9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9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9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9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9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9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9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9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9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9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9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9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9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9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9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9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9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9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9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9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9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9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9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9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9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9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9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9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9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9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9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9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9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9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9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9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9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9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9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9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9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9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9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9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9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9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9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9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9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9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9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9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9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9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9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9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9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9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9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9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9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9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9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9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9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9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9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9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9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9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9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9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9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9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9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9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9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9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9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9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9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9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9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9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9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9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9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9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9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9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9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9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9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9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9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9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9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9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9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9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9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9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9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9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9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9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9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9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9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9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9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9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9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9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9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9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9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9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9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9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9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9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9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9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9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9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9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9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9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9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9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9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9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9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9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9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9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9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9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9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9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9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9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9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9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9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9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9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9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9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9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9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9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9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9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9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9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9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9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9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9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9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9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9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9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9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9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9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9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9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9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9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9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9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9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9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9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9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9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9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9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9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9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9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9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9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9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9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9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9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9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9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9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9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9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9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9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9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9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9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9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9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9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9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9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9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9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9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9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9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9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9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9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9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9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9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9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9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9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9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9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9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9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9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9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9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9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9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9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9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9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9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9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9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9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9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9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9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9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9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9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9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9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9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9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9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9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9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9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9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9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9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9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9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9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9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9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9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9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9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9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9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9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9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9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9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9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9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9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9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9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9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9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9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9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9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9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9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9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9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9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9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9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9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9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9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9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9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9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9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9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9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9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9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9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9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9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9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9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9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9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9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9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9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9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9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9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9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9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9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9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9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9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9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9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9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9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9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9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9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9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9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9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9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9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9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9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9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9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9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9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9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9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9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9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9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9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9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9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9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9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9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9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9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9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9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9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9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9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9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9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9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9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9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9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9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9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9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9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9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9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9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9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9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9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9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9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9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9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9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9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9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9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9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9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9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9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9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9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9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9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9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9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9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9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9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9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9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9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9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9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9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9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9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9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9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9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9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9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9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9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9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9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9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9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9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9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9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9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9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9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9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9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9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9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9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9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9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9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9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9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9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9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9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9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9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9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9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9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9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9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9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9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9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9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9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9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9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9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9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9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9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9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9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9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9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9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9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9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9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9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9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9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9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9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9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9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9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9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7.85546875" customWidth="1"/>
    <col min="2" max="2" width="43.7109375" customWidth="1"/>
    <col min="3" max="3" width="19.28515625" customWidth="1"/>
    <col min="4" max="4" width="70.140625" customWidth="1"/>
    <col min="5" max="5" width="38" customWidth="1"/>
    <col min="6" max="6" width="85.140625" customWidth="1"/>
    <col min="7" max="26" width="9.140625" customWidth="1"/>
  </cols>
  <sheetData>
    <row r="1" spans="1:26" ht="14.25" customHeight="1">
      <c r="A1" s="135" t="s">
        <v>52</v>
      </c>
      <c r="B1" s="134"/>
      <c r="C1" s="134"/>
      <c r="D1" s="134"/>
      <c r="E1" s="134"/>
      <c r="F1" s="13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12" t="s">
        <v>1</v>
      </c>
      <c r="B2" s="12" t="s">
        <v>53</v>
      </c>
      <c r="C2" s="13" t="s">
        <v>54</v>
      </c>
      <c r="D2" s="14" t="s">
        <v>55</v>
      </c>
      <c r="E2" s="15" t="s">
        <v>56</v>
      </c>
      <c r="F2" s="16" t="s">
        <v>57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25" customHeight="1">
      <c r="A3" s="18">
        <v>1</v>
      </c>
      <c r="B3" s="18" t="s">
        <v>26</v>
      </c>
      <c r="C3" s="18">
        <v>3.19</v>
      </c>
      <c r="D3" s="19" t="s">
        <v>58</v>
      </c>
      <c r="E3" s="20" t="s">
        <v>27</v>
      </c>
      <c r="F3" s="21" t="s">
        <v>59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18">
        <v>2</v>
      </c>
      <c r="B4" s="18" t="s">
        <v>60</v>
      </c>
      <c r="C4" s="18">
        <v>2.54</v>
      </c>
      <c r="D4" s="22" t="s">
        <v>61</v>
      </c>
      <c r="E4" s="23" t="s">
        <v>62</v>
      </c>
      <c r="F4" s="24" t="s">
        <v>63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18">
        <v>3</v>
      </c>
      <c r="B5" s="18" t="s">
        <v>64</v>
      </c>
      <c r="C5" s="18">
        <v>31.12</v>
      </c>
      <c r="D5" s="22" t="s">
        <v>65</v>
      </c>
      <c r="E5" s="23" t="s">
        <v>66</v>
      </c>
      <c r="F5" s="24" t="s">
        <v>63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18">
        <v>4</v>
      </c>
      <c r="B6" s="18" t="s">
        <v>67</v>
      </c>
      <c r="C6" s="18">
        <v>32.32</v>
      </c>
      <c r="D6" s="22" t="s">
        <v>68</v>
      </c>
      <c r="E6" s="23" t="s">
        <v>69</v>
      </c>
      <c r="F6" s="24" t="s">
        <v>63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18">
        <v>5</v>
      </c>
      <c r="B7" s="18" t="s">
        <v>70</v>
      </c>
      <c r="C7" s="18">
        <v>1.52</v>
      </c>
      <c r="D7" s="22" t="s">
        <v>71</v>
      </c>
      <c r="E7" s="23" t="s">
        <v>72</v>
      </c>
      <c r="F7" s="24" t="s">
        <v>63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4.2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4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4.2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1:F1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CCE4"/>
  </sheetPr>
  <dimension ref="A1:Z1000"/>
  <sheetViews>
    <sheetView workbookViewId="0"/>
  </sheetViews>
  <sheetFormatPr defaultColWidth="14.42578125" defaultRowHeight="15" customHeight="1"/>
  <cols>
    <col min="1" max="1" width="13.85546875" customWidth="1"/>
    <col min="2" max="2" width="28.5703125" customWidth="1"/>
    <col min="3" max="3" width="19" customWidth="1"/>
    <col min="4" max="4" width="65.5703125" customWidth="1"/>
    <col min="5" max="5" width="18.28515625" customWidth="1"/>
    <col min="6" max="6" width="35.140625" customWidth="1"/>
    <col min="7" max="7" width="31.7109375" customWidth="1"/>
    <col min="8" max="8" width="35.28515625" customWidth="1"/>
    <col min="9" max="9" width="41" customWidth="1"/>
    <col min="10" max="10" width="25.85546875" customWidth="1"/>
    <col min="11" max="26" width="8.85546875" customWidth="1"/>
  </cols>
  <sheetData>
    <row r="1" spans="1:26" ht="23.25" customHeight="1">
      <c r="A1" s="136" t="s">
        <v>73</v>
      </c>
      <c r="B1" s="137"/>
      <c r="C1" s="137"/>
      <c r="D1" s="137"/>
      <c r="E1" s="137"/>
      <c r="F1" s="137"/>
      <c r="G1" s="137"/>
      <c r="H1" s="137"/>
      <c r="I1" s="137"/>
      <c r="J1" s="137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23.25" customHeight="1">
      <c r="A2" s="136" t="s">
        <v>74</v>
      </c>
      <c r="B2" s="137"/>
      <c r="C2" s="137"/>
      <c r="D2" s="137"/>
      <c r="E2" s="137"/>
      <c r="F2" s="137"/>
      <c r="G2" s="137"/>
      <c r="H2" s="137"/>
      <c r="I2" s="137"/>
      <c r="J2" s="137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3.25" customHeight="1">
      <c r="A3" s="138" t="s">
        <v>75</v>
      </c>
      <c r="B3" s="137"/>
      <c r="C3" s="137"/>
      <c r="D3" s="137"/>
      <c r="E3" s="137"/>
      <c r="F3" s="137"/>
      <c r="G3" s="137"/>
      <c r="H3" s="137"/>
      <c r="I3" s="137"/>
      <c r="J3" s="137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" customHeight="1">
      <c r="A4" s="139"/>
      <c r="B4" s="137"/>
      <c r="C4" s="137"/>
      <c r="D4" s="137"/>
      <c r="E4" s="137"/>
      <c r="F4" s="137"/>
      <c r="G4" s="137"/>
      <c r="H4" s="137"/>
      <c r="I4" s="137"/>
      <c r="J4" s="137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66" customHeight="1">
      <c r="A5" s="27" t="s">
        <v>76</v>
      </c>
      <c r="B5" s="27" t="s">
        <v>77</v>
      </c>
      <c r="C5" s="27" t="s">
        <v>78</v>
      </c>
      <c r="D5" s="27" t="s">
        <v>79</v>
      </c>
      <c r="E5" s="28" t="s">
        <v>80</v>
      </c>
      <c r="F5" s="29" t="s">
        <v>81</v>
      </c>
      <c r="G5" s="30" t="s">
        <v>82</v>
      </c>
      <c r="H5" s="29" t="s">
        <v>83</v>
      </c>
      <c r="I5" s="29" t="s">
        <v>84</v>
      </c>
      <c r="J5" s="27" t="s">
        <v>57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3.25" customHeight="1">
      <c r="A6" s="140">
        <v>1</v>
      </c>
      <c r="B6" s="143">
        <v>45599</v>
      </c>
      <c r="C6" s="144" t="s">
        <v>85</v>
      </c>
      <c r="D6" s="31" t="s">
        <v>86</v>
      </c>
      <c r="E6" s="32"/>
      <c r="F6" s="157" t="s">
        <v>87</v>
      </c>
      <c r="G6" s="152"/>
      <c r="H6" s="152"/>
      <c r="I6" s="153"/>
      <c r="J6" s="145" t="s">
        <v>88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3.25" customHeight="1">
      <c r="A7" s="141"/>
      <c r="B7" s="141"/>
      <c r="C7" s="141"/>
      <c r="D7" s="33" t="s">
        <v>89</v>
      </c>
      <c r="E7" s="34"/>
      <c r="F7" s="158"/>
      <c r="G7" s="137"/>
      <c r="H7" s="137"/>
      <c r="I7" s="159"/>
      <c r="J7" s="141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3.25" customHeight="1">
      <c r="A8" s="142"/>
      <c r="B8" s="142"/>
      <c r="C8" s="142"/>
      <c r="D8" s="35" t="s">
        <v>90</v>
      </c>
      <c r="E8" s="36"/>
      <c r="F8" s="154"/>
      <c r="G8" s="134"/>
      <c r="H8" s="134"/>
      <c r="I8" s="155"/>
      <c r="J8" s="142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23.25" customHeight="1">
      <c r="A9" s="37">
        <v>2</v>
      </c>
      <c r="B9" s="38">
        <v>45600</v>
      </c>
      <c r="C9" s="38" t="s">
        <v>85</v>
      </c>
      <c r="D9" s="39" t="s">
        <v>91</v>
      </c>
      <c r="E9" s="40">
        <v>23.31</v>
      </c>
      <c r="F9" s="41" t="s">
        <v>92</v>
      </c>
      <c r="G9" s="42" t="s">
        <v>93</v>
      </c>
      <c r="H9" s="41" t="s">
        <v>94</v>
      </c>
      <c r="I9" s="43" t="s">
        <v>95</v>
      </c>
      <c r="J9" s="44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23.25" customHeight="1">
      <c r="A10" s="37">
        <v>3</v>
      </c>
      <c r="B10" s="38">
        <v>45601</v>
      </c>
      <c r="C10" s="38" t="s">
        <v>85</v>
      </c>
      <c r="D10" s="45" t="s">
        <v>96</v>
      </c>
      <c r="E10" s="46">
        <v>28.48</v>
      </c>
      <c r="F10" s="41" t="s">
        <v>97</v>
      </c>
      <c r="G10" s="42" t="s">
        <v>98</v>
      </c>
      <c r="H10" s="41" t="s">
        <v>99</v>
      </c>
      <c r="I10" s="47" t="s">
        <v>100</v>
      </c>
      <c r="J10" s="44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23.25" customHeight="1">
      <c r="A11" s="37">
        <v>4</v>
      </c>
      <c r="B11" s="38">
        <v>45602</v>
      </c>
      <c r="C11" s="38" t="s">
        <v>85</v>
      </c>
      <c r="D11" s="43" t="s">
        <v>101</v>
      </c>
      <c r="E11" s="46">
        <v>40.31</v>
      </c>
      <c r="F11" s="41" t="s">
        <v>102</v>
      </c>
      <c r="G11" s="42" t="s">
        <v>103</v>
      </c>
      <c r="H11" s="41" t="s">
        <v>104</v>
      </c>
      <c r="I11" s="43" t="s">
        <v>105</v>
      </c>
      <c r="J11" s="44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3.25" customHeight="1">
      <c r="A12" s="37">
        <v>5</v>
      </c>
      <c r="B12" s="38">
        <v>45603</v>
      </c>
      <c r="C12" s="38" t="s">
        <v>85</v>
      </c>
      <c r="D12" s="43" t="s">
        <v>106</v>
      </c>
      <c r="E12" s="46">
        <v>43.51</v>
      </c>
      <c r="F12" s="41" t="s">
        <v>107</v>
      </c>
      <c r="G12" s="42" t="s">
        <v>108</v>
      </c>
      <c r="H12" s="41" t="s">
        <v>109</v>
      </c>
      <c r="I12" s="43" t="s">
        <v>110</v>
      </c>
      <c r="J12" s="44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3.25" customHeight="1">
      <c r="A13" s="37">
        <v>6</v>
      </c>
      <c r="B13" s="38">
        <v>45604</v>
      </c>
      <c r="C13" s="38" t="s">
        <v>85</v>
      </c>
      <c r="D13" s="43" t="s">
        <v>111</v>
      </c>
      <c r="E13" s="46">
        <v>44.39</v>
      </c>
      <c r="F13" s="41" t="s">
        <v>112</v>
      </c>
      <c r="G13" s="42" t="s">
        <v>113</v>
      </c>
      <c r="H13" s="41" t="s">
        <v>114</v>
      </c>
      <c r="I13" s="43" t="s">
        <v>115</v>
      </c>
      <c r="J13" s="44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23.25" customHeight="1">
      <c r="A14" s="37">
        <v>7</v>
      </c>
      <c r="B14" s="38">
        <v>45607</v>
      </c>
      <c r="C14" s="38" t="s">
        <v>85</v>
      </c>
      <c r="D14" s="43" t="s">
        <v>116</v>
      </c>
      <c r="E14" s="46">
        <v>35.130000000000003</v>
      </c>
      <c r="F14" s="41" t="s">
        <v>117</v>
      </c>
      <c r="G14" s="42" t="s">
        <v>118</v>
      </c>
      <c r="H14" s="41" t="s">
        <v>119</v>
      </c>
      <c r="I14" s="43" t="s">
        <v>120</v>
      </c>
      <c r="J14" s="44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3.25" customHeight="1">
      <c r="A15" s="37">
        <v>8</v>
      </c>
      <c r="B15" s="38">
        <v>45608</v>
      </c>
      <c r="C15" s="38" t="s">
        <v>85</v>
      </c>
      <c r="D15" s="43" t="s">
        <v>121</v>
      </c>
      <c r="E15" s="46">
        <v>39.1</v>
      </c>
      <c r="F15" s="41" t="s">
        <v>122</v>
      </c>
      <c r="G15" s="42" t="s">
        <v>123</v>
      </c>
      <c r="H15" s="41" t="s">
        <v>124</v>
      </c>
      <c r="I15" s="43" t="s">
        <v>125</v>
      </c>
      <c r="J15" s="44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23.25" customHeight="1">
      <c r="A16" s="37">
        <v>9</v>
      </c>
      <c r="B16" s="38">
        <v>45609</v>
      </c>
      <c r="C16" s="38" t="s">
        <v>85</v>
      </c>
      <c r="D16" s="43" t="s">
        <v>126</v>
      </c>
      <c r="E16" s="46">
        <v>31.51</v>
      </c>
      <c r="F16" s="41" t="s">
        <v>127</v>
      </c>
      <c r="G16" s="42" t="s">
        <v>128</v>
      </c>
      <c r="H16" s="41" t="s">
        <v>129</v>
      </c>
      <c r="I16" s="43" t="s">
        <v>130</v>
      </c>
      <c r="J16" s="44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3.25" customHeight="1">
      <c r="A17" s="37">
        <v>10</v>
      </c>
      <c r="B17" s="38">
        <v>45610</v>
      </c>
      <c r="C17" s="38" t="s">
        <v>85</v>
      </c>
      <c r="D17" s="43" t="s">
        <v>131</v>
      </c>
      <c r="E17" s="46">
        <v>44.44</v>
      </c>
      <c r="F17" s="41" t="s">
        <v>132</v>
      </c>
      <c r="G17" s="42" t="s">
        <v>133</v>
      </c>
      <c r="H17" s="41" t="s">
        <v>134</v>
      </c>
      <c r="I17" s="47" t="s">
        <v>135</v>
      </c>
      <c r="J17" s="44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27.75" customHeight="1">
      <c r="A18" s="37">
        <v>11</v>
      </c>
      <c r="B18" s="38">
        <v>45611</v>
      </c>
      <c r="C18" s="38" t="s">
        <v>85</v>
      </c>
      <c r="D18" s="43" t="s">
        <v>136</v>
      </c>
      <c r="E18" s="48">
        <v>37.21</v>
      </c>
      <c r="F18" s="49" t="s">
        <v>137</v>
      </c>
      <c r="G18" s="42" t="s">
        <v>138</v>
      </c>
      <c r="H18" s="41" t="s">
        <v>139</v>
      </c>
      <c r="I18" s="50" t="s">
        <v>140</v>
      </c>
      <c r="J18" s="3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3.25" customHeight="1">
      <c r="A19" s="37">
        <v>12</v>
      </c>
      <c r="B19" s="38">
        <v>45614</v>
      </c>
      <c r="C19" s="38" t="s">
        <v>85</v>
      </c>
      <c r="D19" s="45" t="s">
        <v>141</v>
      </c>
      <c r="E19" s="48">
        <v>44.02</v>
      </c>
      <c r="F19" s="41" t="s">
        <v>142</v>
      </c>
      <c r="G19" s="42" t="s">
        <v>143</v>
      </c>
      <c r="H19" s="41" t="s">
        <v>144</v>
      </c>
      <c r="I19" s="50" t="s">
        <v>145</v>
      </c>
      <c r="J19" s="51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3.25" customHeight="1">
      <c r="A20" s="37">
        <v>13</v>
      </c>
      <c r="B20" s="38">
        <v>45615</v>
      </c>
      <c r="C20" s="38" t="s">
        <v>85</v>
      </c>
      <c r="D20" s="43" t="s">
        <v>146</v>
      </c>
      <c r="E20" s="48">
        <v>44.53</v>
      </c>
      <c r="F20" s="41" t="s">
        <v>147</v>
      </c>
      <c r="G20" s="42" t="s">
        <v>148</v>
      </c>
      <c r="H20" s="41" t="s">
        <v>149</v>
      </c>
      <c r="I20" s="50" t="s">
        <v>150</v>
      </c>
      <c r="J20" s="52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3.25" customHeight="1">
      <c r="A21" s="37">
        <v>14</v>
      </c>
      <c r="B21" s="38">
        <v>45616</v>
      </c>
      <c r="C21" s="38" t="s">
        <v>85</v>
      </c>
      <c r="D21" s="43" t="s">
        <v>151</v>
      </c>
      <c r="E21" s="48">
        <v>40.07</v>
      </c>
      <c r="F21" s="41" t="s">
        <v>152</v>
      </c>
      <c r="G21" s="42" t="s">
        <v>153</v>
      </c>
      <c r="H21" s="41" t="s">
        <v>154</v>
      </c>
      <c r="I21" s="50" t="s">
        <v>155</v>
      </c>
      <c r="J21" s="53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3.25" customHeight="1">
      <c r="A22" s="37">
        <v>15</v>
      </c>
      <c r="B22" s="38">
        <v>45617</v>
      </c>
      <c r="C22" s="38" t="s">
        <v>85</v>
      </c>
      <c r="D22" s="43" t="s">
        <v>156</v>
      </c>
      <c r="E22" s="48">
        <v>42.13</v>
      </c>
      <c r="F22" s="41" t="s">
        <v>157</v>
      </c>
      <c r="G22" s="42" t="s">
        <v>158</v>
      </c>
      <c r="H22" s="41" t="s">
        <v>159</v>
      </c>
      <c r="I22" s="50" t="s">
        <v>160</v>
      </c>
      <c r="J22" s="54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30.75" customHeight="1">
      <c r="A23" s="37">
        <v>16</v>
      </c>
      <c r="B23" s="38">
        <v>45618</v>
      </c>
      <c r="C23" s="38" t="s">
        <v>85</v>
      </c>
      <c r="D23" s="43" t="s">
        <v>161</v>
      </c>
      <c r="E23" s="48">
        <v>41.11</v>
      </c>
      <c r="F23" s="41" t="s">
        <v>162</v>
      </c>
      <c r="G23" s="42" t="s">
        <v>163</v>
      </c>
      <c r="H23" s="41" t="s">
        <v>164</v>
      </c>
      <c r="I23" s="50" t="s">
        <v>165</v>
      </c>
      <c r="J23" s="52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3.25" customHeight="1">
      <c r="A24" s="37">
        <v>17</v>
      </c>
      <c r="B24" s="38">
        <v>45621</v>
      </c>
      <c r="C24" s="38" t="s">
        <v>85</v>
      </c>
      <c r="D24" s="45" t="s">
        <v>166</v>
      </c>
      <c r="E24" s="48">
        <v>40.380000000000003</v>
      </c>
      <c r="F24" s="41" t="s">
        <v>167</v>
      </c>
      <c r="G24" s="42" t="s">
        <v>168</v>
      </c>
      <c r="H24" s="41" t="s">
        <v>169</v>
      </c>
      <c r="I24" s="55" t="s">
        <v>170</v>
      </c>
      <c r="J24" s="5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8.5" customHeight="1">
      <c r="A25" s="37">
        <v>18</v>
      </c>
      <c r="B25" s="38">
        <v>45622</v>
      </c>
      <c r="C25" s="38" t="s">
        <v>85</v>
      </c>
      <c r="D25" s="43" t="s">
        <v>171</v>
      </c>
      <c r="E25" s="48">
        <v>42.51</v>
      </c>
      <c r="F25" s="41" t="s">
        <v>172</v>
      </c>
      <c r="G25" s="42" t="s">
        <v>173</v>
      </c>
      <c r="H25" s="41" t="s">
        <v>174</v>
      </c>
      <c r="I25" s="55" t="s">
        <v>175</v>
      </c>
      <c r="J25" s="5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23.25" customHeight="1">
      <c r="A26" s="37">
        <v>19</v>
      </c>
      <c r="B26" s="38">
        <v>45623</v>
      </c>
      <c r="C26" s="38" t="s">
        <v>85</v>
      </c>
      <c r="D26" s="43" t="s">
        <v>176</v>
      </c>
      <c r="E26" s="48">
        <v>42.06</v>
      </c>
      <c r="F26" s="41" t="s">
        <v>177</v>
      </c>
      <c r="G26" s="42" t="s">
        <v>178</v>
      </c>
      <c r="H26" s="41" t="s">
        <v>179</v>
      </c>
      <c r="I26" s="50" t="s">
        <v>180</v>
      </c>
      <c r="J26" s="5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3.25" customHeight="1">
      <c r="A27" s="37">
        <v>20</v>
      </c>
      <c r="B27" s="38">
        <v>45624</v>
      </c>
      <c r="C27" s="38" t="s">
        <v>85</v>
      </c>
      <c r="D27" s="43" t="s">
        <v>181</v>
      </c>
      <c r="E27" s="48">
        <v>44.05</v>
      </c>
      <c r="F27" s="41" t="s">
        <v>182</v>
      </c>
      <c r="G27" s="42" t="s">
        <v>183</v>
      </c>
      <c r="H27" s="41" t="s">
        <v>184</v>
      </c>
      <c r="I27" s="57" t="s">
        <v>185</v>
      </c>
      <c r="J27" s="58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3.25" customHeight="1">
      <c r="A28" s="37">
        <v>21</v>
      </c>
      <c r="B28" s="38">
        <v>45625</v>
      </c>
      <c r="C28" s="38" t="s">
        <v>85</v>
      </c>
      <c r="D28" s="45" t="s">
        <v>186</v>
      </c>
      <c r="E28" s="48">
        <v>42.32</v>
      </c>
      <c r="F28" s="41" t="s">
        <v>187</v>
      </c>
      <c r="G28" s="42" t="s">
        <v>188</v>
      </c>
      <c r="H28" s="41" t="s">
        <v>189</v>
      </c>
      <c r="I28" s="50" t="s">
        <v>190</v>
      </c>
      <c r="J28" s="5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3.25" customHeight="1">
      <c r="A29" s="37">
        <v>22</v>
      </c>
      <c r="B29" s="38">
        <v>45628</v>
      </c>
      <c r="C29" s="38" t="s">
        <v>85</v>
      </c>
      <c r="D29" s="43" t="s">
        <v>191</v>
      </c>
      <c r="E29" s="59">
        <v>43.03</v>
      </c>
      <c r="F29" s="41" t="s">
        <v>192</v>
      </c>
      <c r="G29" s="42" t="s">
        <v>193</v>
      </c>
      <c r="H29" s="49" t="s">
        <v>194</v>
      </c>
      <c r="I29" s="50" t="s">
        <v>195</v>
      </c>
      <c r="J29" s="52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23.25" customHeight="1">
      <c r="A30" s="37">
        <v>23</v>
      </c>
      <c r="B30" s="38">
        <v>45629</v>
      </c>
      <c r="C30" s="38" t="s">
        <v>85</v>
      </c>
      <c r="D30" s="43" t="s">
        <v>196</v>
      </c>
      <c r="E30" s="59">
        <v>41.34</v>
      </c>
      <c r="F30" s="49" t="s">
        <v>197</v>
      </c>
      <c r="G30" s="42" t="s">
        <v>198</v>
      </c>
      <c r="H30" s="41" t="s">
        <v>199</v>
      </c>
      <c r="I30" s="50" t="s">
        <v>200</v>
      </c>
      <c r="J30" s="60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23.25" customHeight="1">
      <c r="A31" s="37">
        <v>24</v>
      </c>
      <c r="B31" s="38">
        <v>45630</v>
      </c>
      <c r="C31" s="38" t="s">
        <v>85</v>
      </c>
      <c r="D31" s="43" t="s">
        <v>201</v>
      </c>
      <c r="E31" s="59">
        <v>44.05</v>
      </c>
      <c r="F31" s="41" t="s">
        <v>202</v>
      </c>
      <c r="G31" s="42" t="s">
        <v>203</v>
      </c>
      <c r="H31" s="41" t="s">
        <v>204</v>
      </c>
      <c r="I31" s="50" t="s">
        <v>205</v>
      </c>
      <c r="J31" s="60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23.25" customHeight="1">
      <c r="A32" s="61"/>
      <c r="B32" s="62">
        <v>45631</v>
      </c>
      <c r="C32" s="146" t="s">
        <v>206</v>
      </c>
      <c r="D32" s="147"/>
      <c r="E32" s="147"/>
      <c r="F32" s="147"/>
      <c r="G32" s="147"/>
      <c r="H32" s="147"/>
      <c r="I32" s="147"/>
      <c r="J32" s="148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3.25" customHeight="1">
      <c r="A33" s="37">
        <v>25</v>
      </c>
      <c r="B33" s="38">
        <v>45632</v>
      </c>
      <c r="C33" s="38" t="s">
        <v>85</v>
      </c>
      <c r="D33" s="43" t="s">
        <v>207</v>
      </c>
      <c r="E33" s="59">
        <v>42.38</v>
      </c>
      <c r="F33" s="41" t="s">
        <v>208</v>
      </c>
      <c r="G33" s="42" t="s">
        <v>209</v>
      </c>
      <c r="H33" s="41" t="s">
        <v>210</v>
      </c>
      <c r="I33" s="50" t="s">
        <v>211</v>
      </c>
      <c r="J33" s="60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3.25" customHeight="1">
      <c r="A34" s="37">
        <v>26</v>
      </c>
      <c r="B34" s="38">
        <v>45635</v>
      </c>
      <c r="C34" s="38" t="s">
        <v>85</v>
      </c>
      <c r="D34" s="43" t="s">
        <v>212</v>
      </c>
      <c r="E34" s="59">
        <v>41.1</v>
      </c>
      <c r="F34" s="41" t="s">
        <v>213</v>
      </c>
      <c r="G34" s="42" t="s">
        <v>214</v>
      </c>
      <c r="H34" s="41" t="s">
        <v>215</v>
      </c>
      <c r="I34" s="50" t="s">
        <v>216</v>
      </c>
      <c r="J34" s="60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3.25" customHeight="1">
      <c r="A35" s="61"/>
      <c r="B35" s="62">
        <v>45636</v>
      </c>
      <c r="C35" s="146" t="s">
        <v>217</v>
      </c>
      <c r="D35" s="147"/>
      <c r="E35" s="147"/>
      <c r="F35" s="147"/>
      <c r="G35" s="147"/>
      <c r="H35" s="147"/>
      <c r="I35" s="147"/>
      <c r="J35" s="148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3.25" customHeight="1">
      <c r="A36" s="37">
        <v>27</v>
      </c>
      <c r="B36" s="63">
        <v>45637</v>
      </c>
      <c r="C36" s="38" t="s">
        <v>85</v>
      </c>
      <c r="D36" s="43" t="s">
        <v>218</v>
      </c>
      <c r="E36" s="59">
        <v>43.49</v>
      </c>
      <c r="F36" s="41" t="s">
        <v>219</v>
      </c>
      <c r="G36" s="42" t="s">
        <v>220</v>
      </c>
      <c r="H36" s="41" t="s">
        <v>221</v>
      </c>
      <c r="I36" s="50" t="s">
        <v>222</v>
      </c>
      <c r="J36" s="60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3.25" customHeight="1">
      <c r="A37" s="37">
        <v>28</v>
      </c>
      <c r="B37" s="63">
        <v>45638</v>
      </c>
      <c r="C37" s="38" t="s">
        <v>85</v>
      </c>
      <c r="D37" s="43" t="s">
        <v>223</v>
      </c>
      <c r="E37" s="48">
        <v>44</v>
      </c>
      <c r="F37" s="41" t="s">
        <v>224</v>
      </c>
      <c r="G37" s="42" t="s">
        <v>225</v>
      </c>
      <c r="H37" s="41" t="s">
        <v>226</v>
      </c>
      <c r="I37" s="50" t="s">
        <v>227</v>
      </c>
      <c r="J37" s="60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3.25" customHeight="1">
      <c r="A38" s="37">
        <v>29</v>
      </c>
      <c r="B38" s="63">
        <v>45639</v>
      </c>
      <c r="C38" s="38" t="s">
        <v>85</v>
      </c>
      <c r="D38" s="45" t="s">
        <v>228</v>
      </c>
      <c r="E38" s="48">
        <v>42.31</v>
      </c>
      <c r="F38" s="41" t="s">
        <v>229</v>
      </c>
      <c r="G38" s="42" t="s">
        <v>230</v>
      </c>
      <c r="H38" s="41" t="s">
        <v>231</v>
      </c>
      <c r="I38" s="50" t="s">
        <v>232</v>
      </c>
      <c r="J38" s="60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3.25" customHeight="1">
      <c r="A39" s="150">
        <v>30</v>
      </c>
      <c r="B39" s="144">
        <v>45641</v>
      </c>
      <c r="C39" s="151" t="s">
        <v>233</v>
      </c>
      <c r="D39" s="152"/>
      <c r="E39" s="153"/>
      <c r="F39" s="64" t="s">
        <v>234</v>
      </c>
      <c r="G39" s="65">
        <v>0.64652777777777781</v>
      </c>
      <c r="H39" s="66" t="s">
        <v>235</v>
      </c>
      <c r="I39" s="64" t="s">
        <v>140</v>
      </c>
      <c r="J39" s="67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3.25" customHeight="1">
      <c r="A40" s="142"/>
      <c r="B40" s="142"/>
      <c r="C40" s="154"/>
      <c r="D40" s="134"/>
      <c r="E40" s="155"/>
      <c r="F40" s="64" t="s">
        <v>236</v>
      </c>
      <c r="G40" s="65" t="s">
        <v>237</v>
      </c>
      <c r="H40" s="68" t="s">
        <v>238</v>
      </c>
      <c r="I40" s="64"/>
      <c r="J40" s="67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23.25" customHeight="1">
      <c r="A41" s="37">
        <v>31</v>
      </c>
      <c r="B41" s="38">
        <v>45642</v>
      </c>
      <c r="C41" s="38" t="s">
        <v>85</v>
      </c>
      <c r="D41" s="43" t="s">
        <v>239</v>
      </c>
      <c r="E41" s="48">
        <v>44.01</v>
      </c>
      <c r="F41" s="41" t="s">
        <v>240</v>
      </c>
      <c r="G41" s="42" t="s">
        <v>241</v>
      </c>
      <c r="H41" s="41" t="s">
        <v>242</v>
      </c>
      <c r="I41" s="50" t="s">
        <v>243</v>
      </c>
      <c r="J41" s="60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3.25" customHeight="1">
      <c r="A42" s="37">
        <v>32</v>
      </c>
      <c r="B42" s="38">
        <v>45643</v>
      </c>
      <c r="C42" s="63" t="s">
        <v>85</v>
      </c>
      <c r="D42" s="43" t="s">
        <v>244</v>
      </c>
      <c r="E42" s="48">
        <v>42.4</v>
      </c>
      <c r="F42" s="41" t="s">
        <v>245</v>
      </c>
      <c r="G42" s="42" t="s">
        <v>225</v>
      </c>
      <c r="H42" s="41" t="s">
        <v>246</v>
      </c>
      <c r="I42" s="50" t="s">
        <v>247</v>
      </c>
      <c r="J42" s="60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23.25" customHeight="1">
      <c r="A43" s="37">
        <v>33</v>
      </c>
      <c r="B43" s="38">
        <v>45644</v>
      </c>
      <c r="C43" s="38" t="s">
        <v>85</v>
      </c>
      <c r="D43" s="43" t="s">
        <v>248</v>
      </c>
      <c r="E43" s="48">
        <v>44.35</v>
      </c>
      <c r="F43" s="41" t="s">
        <v>249</v>
      </c>
      <c r="G43" s="42" t="s">
        <v>250</v>
      </c>
      <c r="H43" s="41" t="s">
        <v>251</v>
      </c>
      <c r="I43" s="52" t="s">
        <v>252</v>
      </c>
      <c r="J43" s="60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3.25" customHeight="1">
      <c r="A44" s="37">
        <v>34</v>
      </c>
      <c r="B44" s="38">
        <v>45645</v>
      </c>
      <c r="C44" s="38" t="s">
        <v>85</v>
      </c>
      <c r="D44" s="43" t="s">
        <v>253</v>
      </c>
      <c r="E44" s="48">
        <v>41.44</v>
      </c>
      <c r="F44" s="41" t="s">
        <v>254</v>
      </c>
      <c r="G44" s="42" t="s">
        <v>103</v>
      </c>
      <c r="H44" s="49" t="s">
        <v>255</v>
      </c>
      <c r="I44" s="52" t="s">
        <v>256</v>
      </c>
      <c r="J44" s="60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3.25" customHeight="1">
      <c r="A45" s="37">
        <v>35</v>
      </c>
      <c r="B45" s="38">
        <v>45646</v>
      </c>
      <c r="C45" s="38" t="s">
        <v>85</v>
      </c>
      <c r="D45" s="43" t="s">
        <v>257</v>
      </c>
      <c r="E45" s="48">
        <v>43.21</v>
      </c>
      <c r="F45" s="41" t="s">
        <v>258</v>
      </c>
      <c r="G45" s="42" t="s">
        <v>259</v>
      </c>
      <c r="H45" s="41" t="s">
        <v>260</v>
      </c>
      <c r="I45" s="52" t="s">
        <v>261</v>
      </c>
      <c r="J45" s="60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3.25" customHeight="1">
      <c r="A46" s="37">
        <v>36</v>
      </c>
      <c r="B46" s="38">
        <v>45649</v>
      </c>
      <c r="C46" s="38" t="s">
        <v>85</v>
      </c>
      <c r="D46" s="43" t="s">
        <v>262</v>
      </c>
      <c r="E46" s="48">
        <v>43.33</v>
      </c>
      <c r="F46" s="41" t="s">
        <v>263</v>
      </c>
      <c r="G46" s="42" t="s">
        <v>264</v>
      </c>
      <c r="H46" s="41" t="s">
        <v>265</v>
      </c>
      <c r="I46" s="52" t="s">
        <v>266</v>
      </c>
      <c r="J46" s="60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3.25" customHeight="1">
      <c r="A47" s="37">
        <v>37</v>
      </c>
      <c r="B47" s="38">
        <v>45650</v>
      </c>
      <c r="C47" s="38" t="s">
        <v>85</v>
      </c>
      <c r="D47" s="43" t="s">
        <v>267</v>
      </c>
      <c r="E47" s="48">
        <v>33.15</v>
      </c>
      <c r="F47" s="41" t="s">
        <v>268</v>
      </c>
      <c r="G47" s="42" t="s">
        <v>269</v>
      </c>
      <c r="H47" s="41" t="s">
        <v>270</v>
      </c>
      <c r="I47" s="52" t="s">
        <v>271</v>
      </c>
      <c r="J47" s="60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23.25" customHeight="1">
      <c r="A48" s="37">
        <v>38</v>
      </c>
      <c r="B48" s="38">
        <v>45651</v>
      </c>
      <c r="C48" s="38" t="s">
        <v>85</v>
      </c>
      <c r="D48" s="43" t="s">
        <v>272</v>
      </c>
      <c r="E48" s="59">
        <v>17.350000000000001</v>
      </c>
      <c r="F48" s="41" t="s">
        <v>273</v>
      </c>
      <c r="G48" s="42" t="s">
        <v>274</v>
      </c>
      <c r="H48" s="41" t="s">
        <v>275</v>
      </c>
      <c r="I48" s="52" t="s">
        <v>276</v>
      </c>
      <c r="J48" s="60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3.25" customHeight="1">
      <c r="A49" s="37">
        <v>39</v>
      </c>
      <c r="B49" s="38">
        <v>45652</v>
      </c>
      <c r="C49" s="38" t="s">
        <v>85</v>
      </c>
      <c r="D49" s="43" t="s">
        <v>277</v>
      </c>
      <c r="E49" s="59">
        <v>35.26</v>
      </c>
      <c r="F49" s="41" t="s">
        <v>278</v>
      </c>
      <c r="G49" s="42" t="s">
        <v>279</v>
      </c>
      <c r="H49" s="41" t="s">
        <v>280</v>
      </c>
      <c r="I49" s="52" t="s">
        <v>195</v>
      </c>
      <c r="J49" s="60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23.25" customHeight="1">
      <c r="A50" s="37">
        <v>40</v>
      </c>
      <c r="B50" s="38">
        <v>45653</v>
      </c>
      <c r="C50" s="38" t="s">
        <v>85</v>
      </c>
      <c r="D50" s="43" t="s">
        <v>281</v>
      </c>
      <c r="E50" s="48">
        <v>43.22</v>
      </c>
      <c r="F50" s="41" t="s">
        <v>282</v>
      </c>
      <c r="G50" s="42" t="s">
        <v>178</v>
      </c>
      <c r="H50" s="41" t="s">
        <v>283</v>
      </c>
      <c r="I50" s="52" t="s">
        <v>284</v>
      </c>
      <c r="J50" s="60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23.25" customHeight="1">
      <c r="A51" s="61"/>
      <c r="B51" s="149" t="s">
        <v>285</v>
      </c>
      <c r="C51" s="148"/>
      <c r="D51" s="146" t="s">
        <v>286</v>
      </c>
      <c r="E51" s="147"/>
      <c r="F51" s="147"/>
      <c r="G51" s="147"/>
      <c r="H51" s="147"/>
      <c r="I51" s="147"/>
      <c r="J51" s="148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3.25" customHeight="1">
      <c r="A52" s="61"/>
      <c r="B52" s="149" t="s">
        <v>287</v>
      </c>
      <c r="C52" s="148"/>
      <c r="D52" s="146" t="s">
        <v>288</v>
      </c>
      <c r="E52" s="147"/>
      <c r="F52" s="147"/>
      <c r="G52" s="147"/>
      <c r="H52" s="147"/>
      <c r="I52" s="147"/>
      <c r="J52" s="148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3.25" customHeight="1">
      <c r="A53" s="37">
        <v>41</v>
      </c>
      <c r="B53" s="38">
        <v>45665</v>
      </c>
      <c r="C53" s="38" t="s">
        <v>85</v>
      </c>
      <c r="D53" s="45" t="s">
        <v>289</v>
      </c>
      <c r="E53" s="69">
        <v>44.27</v>
      </c>
      <c r="F53" s="41" t="s">
        <v>290</v>
      </c>
      <c r="G53" s="42" t="s">
        <v>291</v>
      </c>
      <c r="H53" s="41" t="s">
        <v>292</v>
      </c>
      <c r="I53" s="52" t="s">
        <v>293</v>
      </c>
      <c r="J53" s="60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3.25" customHeight="1">
      <c r="A54" s="37">
        <v>42</v>
      </c>
      <c r="B54" s="38">
        <v>45666</v>
      </c>
      <c r="C54" s="38" t="s">
        <v>85</v>
      </c>
      <c r="D54" s="45" t="s">
        <v>294</v>
      </c>
      <c r="E54" s="69">
        <v>40.36</v>
      </c>
      <c r="F54" s="41" t="s">
        <v>295</v>
      </c>
      <c r="G54" s="42" t="s">
        <v>296</v>
      </c>
      <c r="H54" s="41" t="s">
        <v>297</v>
      </c>
      <c r="I54" s="52" t="s">
        <v>298</v>
      </c>
      <c r="J54" s="60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3.25" customHeight="1">
      <c r="A55" s="37">
        <v>43</v>
      </c>
      <c r="B55" s="38">
        <v>45667</v>
      </c>
      <c r="C55" s="38" t="s">
        <v>85</v>
      </c>
      <c r="D55" s="45" t="s">
        <v>299</v>
      </c>
      <c r="E55" s="59">
        <v>44.39</v>
      </c>
      <c r="F55" s="41" t="s">
        <v>300</v>
      </c>
      <c r="G55" s="42" t="s">
        <v>301</v>
      </c>
      <c r="H55" s="49" t="s">
        <v>302</v>
      </c>
      <c r="I55" s="52" t="s">
        <v>303</v>
      </c>
      <c r="J55" s="60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23.25" customHeight="1">
      <c r="A56" s="37">
        <v>44</v>
      </c>
      <c r="B56" s="38">
        <v>45670</v>
      </c>
      <c r="C56" s="38" t="s">
        <v>85</v>
      </c>
      <c r="D56" s="43" t="s">
        <v>304</v>
      </c>
      <c r="E56" s="59">
        <v>44.41</v>
      </c>
      <c r="F56" s="41" t="s">
        <v>305</v>
      </c>
      <c r="G56" s="42" t="s">
        <v>306</v>
      </c>
      <c r="H56" s="41" t="s">
        <v>307</v>
      </c>
      <c r="I56" s="52" t="s">
        <v>308</v>
      </c>
      <c r="J56" s="5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3.25" customHeight="1">
      <c r="A57" s="37">
        <v>45</v>
      </c>
      <c r="B57" s="38">
        <v>45671</v>
      </c>
      <c r="C57" s="38" t="s">
        <v>85</v>
      </c>
      <c r="D57" s="43" t="s">
        <v>309</v>
      </c>
      <c r="E57" s="59">
        <v>32.130000000000003</v>
      </c>
      <c r="F57" s="41" t="s">
        <v>310</v>
      </c>
      <c r="G57" s="42" t="s">
        <v>311</v>
      </c>
      <c r="H57" s="41" t="s">
        <v>312</v>
      </c>
      <c r="I57" s="52" t="s">
        <v>120</v>
      </c>
      <c r="J57" s="5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3.25" customHeight="1">
      <c r="A58" s="37">
        <v>46</v>
      </c>
      <c r="B58" s="38">
        <v>45672</v>
      </c>
      <c r="C58" s="38" t="s">
        <v>85</v>
      </c>
      <c r="D58" s="43" t="s">
        <v>313</v>
      </c>
      <c r="E58" s="59">
        <v>41.43</v>
      </c>
      <c r="F58" s="41" t="s">
        <v>314</v>
      </c>
      <c r="G58" s="42" t="s">
        <v>315</v>
      </c>
      <c r="H58" s="41" t="s">
        <v>316</v>
      </c>
      <c r="I58" s="52" t="s">
        <v>317</v>
      </c>
      <c r="J58" s="5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3.25" customHeight="1">
      <c r="A59" s="37">
        <v>47</v>
      </c>
      <c r="B59" s="38">
        <v>45673</v>
      </c>
      <c r="C59" s="38" t="s">
        <v>85</v>
      </c>
      <c r="D59" s="43" t="s">
        <v>318</v>
      </c>
      <c r="E59" s="48">
        <v>41.44</v>
      </c>
      <c r="F59" s="41" t="s">
        <v>319</v>
      </c>
      <c r="G59" s="42" t="s">
        <v>320</v>
      </c>
      <c r="H59" s="41" t="s">
        <v>321</v>
      </c>
      <c r="I59" s="52" t="s">
        <v>322</v>
      </c>
      <c r="J59" s="5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3.25" customHeight="1">
      <c r="A60" s="37">
        <v>48</v>
      </c>
      <c r="B60" s="38">
        <v>45674</v>
      </c>
      <c r="C60" s="38" t="s">
        <v>85</v>
      </c>
      <c r="D60" s="43" t="s">
        <v>323</v>
      </c>
      <c r="E60" s="59">
        <v>44.42</v>
      </c>
      <c r="F60" s="41" t="s">
        <v>324</v>
      </c>
      <c r="G60" s="42" t="s">
        <v>173</v>
      </c>
      <c r="H60" s="41" t="s">
        <v>325</v>
      </c>
      <c r="I60" s="52" t="s">
        <v>326</v>
      </c>
      <c r="J60" s="5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23.25" customHeight="1">
      <c r="A61" s="37">
        <v>49</v>
      </c>
      <c r="B61" s="38">
        <v>45677</v>
      </c>
      <c r="C61" s="38" t="s">
        <v>85</v>
      </c>
      <c r="D61" s="43" t="s">
        <v>327</v>
      </c>
      <c r="E61" s="59">
        <v>44.2</v>
      </c>
      <c r="F61" s="41" t="s">
        <v>328</v>
      </c>
      <c r="G61" s="42" t="s">
        <v>329</v>
      </c>
      <c r="H61" s="41" t="s">
        <v>330</v>
      </c>
      <c r="I61" s="52" t="s">
        <v>331</v>
      </c>
      <c r="J61" s="5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23.25" customHeight="1">
      <c r="A62" s="37">
        <v>50</v>
      </c>
      <c r="B62" s="38">
        <v>45678</v>
      </c>
      <c r="C62" s="38" t="s">
        <v>85</v>
      </c>
      <c r="D62" s="43" t="s">
        <v>332</v>
      </c>
      <c r="E62" s="59">
        <v>44.29</v>
      </c>
      <c r="F62" s="41" t="s">
        <v>333</v>
      </c>
      <c r="G62" s="42" t="s">
        <v>334</v>
      </c>
      <c r="H62" s="41" t="s">
        <v>335</v>
      </c>
      <c r="I62" s="52" t="s">
        <v>336</v>
      </c>
      <c r="J62" s="5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23.25" customHeight="1">
      <c r="A63" s="70">
        <v>51</v>
      </c>
      <c r="B63" s="71">
        <v>45679</v>
      </c>
      <c r="C63" s="71" t="s">
        <v>85</v>
      </c>
      <c r="D63" s="72" t="s">
        <v>337</v>
      </c>
      <c r="E63" s="73"/>
      <c r="F63" s="74" t="s">
        <v>338</v>
      </c>
      <c r="G63" s="75" t="s">
        <v>339</v>
      </c>
      <c r="H63" s="41" t="s">
        <v>340</v>
      </c>
      <c r="I63" s="76" t="s">
        <v>341</v>
      </c>
      <c r="J63" s="74" t="s">
        <v>342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23.25" customHeight="1">
      <c r="A64" s="37">
        <v>52</v>
      </c>
      <c r="B64" s="63">
        <v>45680</v>
      </c>
      <c r="C64" s="63" t="s">
        <v>85</v>
      </c>
      <c r="D64" s="51" t="s">
        <v>343</v>
      </c>
      <c r="E64" s="59"/>
      <c r="F64" s="51"/>
      <c r="G64" s="42" t="s">
        <v>344</v>
      </c>
      <c r="H64" s="77" t="s">
        <v>345</v>
      </c>
      <c r="I64" s="43" t="s">
        <v>140</v>
      </c>
      <c r="J64" s="51" t="s">
        <v>346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3.25" customHeight="1">
      <c r="A65" s="78"/>
      <c r="B65" s="160" t="s">
        <v>347</v>
      </c>
      <c r="C65" s="148"/>
      <c r="D65" s="79" t="s">
        <v>348</v>
      </c>
      <c r="E65" s="80"/>
      <c r="F65" s="81"/>
      <c r="G65" s="81"/>
      <c r="H65" s="81"/>
      <c r="I65" s="81"/>
      <c r="J65" s="81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3.25" customHeight="1">
      <c r="A66" s="29">
        <v>53</v>
      </c>
      <c r="B66" s="82">
        <v>45687</v>
      </c>
      <c r="C66" s="82" t="s">
        <v>85</v>
      </c>
      <c r="D66" s="83" t="s">
        <v>349</v>
      </c>
      <c r="E66" s="84" t="s">
        <v>350</v>
      </c>
      <c r="F66" s="83"/>
      <c r="G66" s="83"/>
      <c r="H66" s="83"/>
      <c r="I66" s="83"/>
      <c r="J66" s="83" t="s">
        <v>346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3.25" customHeight="1">
      <c r="A67" s="67"/>
      <c r="B67" s="156" t="s">
        <v>351</v>
      </c>
      <c r="C67" s="148"/>
      <c r="D67" s="85" t="s">
        <v>352</v>
      </c>
      <c r="E67" s="67"/>
      <c r="F67" s="67"/>
      <c r="G67" s="67"/>
      <c r="H67" s="67"/>
      <c r="I67" s="67"/>
      <c r="J67" s="67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3.25" customHeight="1">
      <c r="A68" s="86" t="s">
        <v>353</v>
      </c>
      <c r="B68" s="87" t="s">
        <v>354</v>
      </c>
      <c r="C68" s="26"/>
      <c r="D68" s="26"/>
      <c r="E68" s="26"/>
      <c r="F68" s="26"/>
      <c r="G68" s="87"/>
      <c r="H68" s="26"/>
      <c r="I68" s="87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3.25" customHeight="1">
      <c r="A69" s="26"/>
      <c r="B69" s="26"/>
      <c r="C69" s="26"/>
      <c r="D69" s="26"/>
      <c r="E69" s="26"/>
      <c r="F69" s="26"/>
      <c r="G69" s="87"/>
      <c r="H69" s="26"/>
      <c r="I69" s="87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3.25" customHeight="1">
      <c r="A70" s="26"/>
      <c r="B70" s="26"/>
      <c r="C70" s="26"/>
      <c r="D70" s="26"/>
      <c r="E70" s="26"/>
      <c r="F70" s="26"/>
      <c r="G70" s="8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3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3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23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23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3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23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3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23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23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3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23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3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23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23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23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23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23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3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23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23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23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23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3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23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23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23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23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23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3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23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23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23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3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3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3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3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3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3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3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23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23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23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23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23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23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23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3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3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3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23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23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23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3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23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23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23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23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23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23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3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3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3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23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23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23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23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23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23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23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23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23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23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23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23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23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23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23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3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23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23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3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3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3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3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3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3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3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3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23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23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23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3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3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3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23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3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23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3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3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3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3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3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3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23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23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23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23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23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23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23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23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23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23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23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23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23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23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23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23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23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23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23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3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23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23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23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23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23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23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23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23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23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23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23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23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23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23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23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23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23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23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23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23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23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23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23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23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23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23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23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23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23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23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23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23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23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23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23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23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23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23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23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23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23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23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23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23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23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23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23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23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23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23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23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23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23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23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23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23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23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23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23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23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23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23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23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23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23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23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23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23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23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23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23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23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23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23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23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23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23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23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23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23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23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23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23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23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23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23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23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23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23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23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23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23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23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23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23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23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23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23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23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23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23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23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23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23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23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23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23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23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23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23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23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23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23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23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23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23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23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23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23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23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23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23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23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23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23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23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23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23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23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23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23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23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23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23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23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23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23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23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23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23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23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23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23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23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23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23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23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23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23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23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23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23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23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23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23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23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23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23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23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23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23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23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23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23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23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23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23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23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23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23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23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23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23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23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23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23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23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23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23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23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23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23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23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23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23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23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23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23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23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23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23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23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23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23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23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23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23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23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23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23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23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23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23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23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23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23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23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23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23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23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23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23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23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23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23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23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23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23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23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23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23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23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23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23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23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23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23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23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23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23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23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23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23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23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23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23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23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23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23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23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23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23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23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23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23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23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23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23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23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23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23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23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23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23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23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23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23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23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23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23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23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23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23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23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23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23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23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23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23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23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23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23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23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23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23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23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23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23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23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23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23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23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23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23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23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23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23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23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23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23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23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23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23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23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23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23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23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23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23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23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23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23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23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23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23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23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23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23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23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23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23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23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23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23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23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23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23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23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23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23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23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23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23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23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23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23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23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23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23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23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23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23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23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23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23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23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23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23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23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23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23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23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23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23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23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23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23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23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23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23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23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23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23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23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23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23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23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23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23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23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23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23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23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23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23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23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23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23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23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23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23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23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23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23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23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23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23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23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23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23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23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23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23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23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23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23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23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23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23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23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23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23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23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23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23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23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23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23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23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23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23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23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23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23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23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23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23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23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23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23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23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23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23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23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23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23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23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23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23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23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23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23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23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23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23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23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23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23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23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23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23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23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23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23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23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23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23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23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23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23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23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23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23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23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23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23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23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23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23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23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23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23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23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23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23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23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23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23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23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23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23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23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23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23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23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23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23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23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23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23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23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23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23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23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23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23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23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23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23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23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23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23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23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23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23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23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23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23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23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23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23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23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23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23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23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23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23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23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23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23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23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23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23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23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23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23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23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23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23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23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23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23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23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23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23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23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23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23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23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23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23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23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23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23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23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23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23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23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23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23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23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23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23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23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23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23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23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23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23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23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23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23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23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23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23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23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23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23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23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23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23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23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23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23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23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23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23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23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23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23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23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23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23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23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23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23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23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23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23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23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23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23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23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23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23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23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23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23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23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23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23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23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23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23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23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23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23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23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23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23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23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23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23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23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23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23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23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23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23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23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23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23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23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23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23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23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23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23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23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23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23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23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23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23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23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23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23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23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23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23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23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23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23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23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23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23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23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23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23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23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23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23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23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23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23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23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23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23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23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23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23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23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23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23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23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23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23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23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23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23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23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23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23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23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23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23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23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23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23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23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23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23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23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23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23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23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23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23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23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23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23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23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23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23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23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23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23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23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23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23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23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23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23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23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23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23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23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23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23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23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23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23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23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23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23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23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23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23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23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23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23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23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23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23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23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23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23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23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23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23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23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23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23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23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23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23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23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23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23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23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23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23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23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23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23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23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23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23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23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23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23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23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23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23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23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23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23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23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23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23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23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23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23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23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23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23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23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23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23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23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23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23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23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23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23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23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23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23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23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23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23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23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23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23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23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23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23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23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23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23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23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23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23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23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23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23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23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23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23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23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23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23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23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23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23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23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23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23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23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23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23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23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23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23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23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23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23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23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23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23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23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23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23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23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23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23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23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20">
    <mergeCell ref="B67:C67"/>
    <mergeCell ref="F6:I8"/>
    <mergeCell ref="B52:C52"/>
    <mergeCell ref="D52:J52"/>
    <mergeCell ref="B65:C65"/>
    <mergeCell ref="C32:J32"/>
    <mergeCell ref="C35:J35"/>
    <mergeCell ref="B51:C51"/>
    <mergeCell ref="D51:J51"/>
    <mergeCell ref="A39:A40"/>
    <mergeCell ref="B39:B40"/>
    <mergeCell ref="C39:E40"/>
    <mergeCell ref="A1:J1"/>
    <mergeCell ref="A2:J2"/>
    <mergeCell ref="A3:J3"/>
    <mergeCell ref="A4:J4"/>
    <mergeCell ref="A6:A8"/>
    <mergeCell ref="B6:B8"/>
    <mergeCell ref="C6:C8"/>
    <mergeCell ref="J6:J8"/>
  </mergeCells>
  <hyperlinks>
    <hyperlink ref="F9" r:id="rId1" xr:uid="{00000000-0004-0000-0200-000000000000}"/>
    <hyperlink ref="H9" r:id="rId2" xr:uid="{00000000-0004-0000-0200-000001000000}"/>
    <hyperlink ref="F10" r:id="rId3" xr:uid="{00000000-0004-0000-0200-000002000000}"/>
    <hyperlink ref="H10" r:id="rId4" xr:uid="{00000000-0004-0000-0200-000003000000}"/>
    <hyperlink ref="F11" r:id="rId5" xr:uid="{00000000-0004-0000-0200-000004000000}"/>
    <hyperlink ref="H11" r:id="rId6" xr:uid="{00000000-0004-0000-0200-000005000000}"/>
    <hyperlink ref="F12" r:id="rId7" xr:uid="{00000000-0004-0000-0200-000006000000}"/>
    <hyperlink ref="H12" r:id="rId8" xr:uid="{00000000-0004-0000-0200-000007000000}"/>
    <hyperlink ref="F13" r:id="rId9" xr:uid="{00000000-0004-0000-0200-000008000000}"/>
    <hyperlink ref="H13" r:id="rId10" xr:uid="{00000000-0004-0000-0200-000009000000}"/>
    <hyperlink ref="F14" r:id="rId11" xr:uid="{00000000-0004-0000-0200-00000A000000}"/>
    <hyperlink ref="H14" r:id="rId12" xr:uid="{00000000-0004-0000-0200-00000B000000}"/>
    <hyperlink ref="F15" r:id="rId13" xr:uid="{00000000-0004-0000-0200-00000C000000}"/>
    <hyperlink ref="H15" r:id="rId14" xr:uid="{00000000-0004-0000-0200-00000D000000}"/>
    <hyperlink ref="F16" r:id="rId15" xr:uid="{00000000-0004-0000-0200-00000E000000}"/>
    <hyperlink ref="H16" r:id="rId16" xr:uid="{00000000-0004-0000-0200-00000F000000}"/>
    <hyperlink ref="F17" r:id="rId17" xr:uid="{00000000-0004-0000-0200-000010000000}"/>
    <hyperlink ref="H17" r:id="rId18" xr:uid="{00000000-0004-0000-0200-000011000000}"/>
    <hyperlink ref="F18" r:id="rId19" xr:uid="{00000000-0004-0000-0200-000012000000}"/>
    <hyperlink ref="H18" r:id="rId20" xr:uid="{00000000-0004-0000-0200-000013000000}"/>
    <hyperlink ref="F19" r:id="rId21" xr:uid="{00000000-0004-0000-0200-000014000000}"/>
    <hyperlink ref="H19" r:id="rId22" xr:uid="{00000000-0004-0000-0200-000015000000}"/>
    <hyperlink ref="F20" r:id="rId23" xr:uid="{00000000-0004-0000-0200-000016000000}"/>
    <hyperlink ref="H20" r:id="rId24" xr:uid="{00000000-0004-0000-0200-000017000000}"/>
    <hyperlink ref="F21" r:id="rId25" xr:uid="{00000000-0004-0000-0200-000018000000}"/>
    <hyperlink ref="H21" r:id="rId26" xr:uid="{00000000-0004-0000-0200-000019000000}"/>
    <hyperlink ref="F22" r:id="rId27" xr:uid="{00000000-0004-0000-0200-00001A000000}"/>
    <hyperlink ref="H22" r:id="rId28" xr:uid="{00000000-0004-0000-0200-00001B000000}"/>
    <hyperlink ref="F23" r:id="rId29" xr:uid="{00000000-0004-0000-0200-00001C000000}"/>
    <hyperlink ref="H23" r:id="rId30" xr:uid="{00000000-0004-0000-0200-00001D000000}"/>
    <hyperlink ref="F24" r:id="rId31" xr:uid="{00000000-0004-0000-0200-00001E000000}"/>
    <hyperlink ref="H24" r:id="rId32" xr:uid="{00000000-0004-0000-0200-00001F000000}"/>
    <hyperlink ref="F25" r:id="rId33" xr:uid="{00000000-0004-0000-0200-000020000000}"/>
    <hyperlink ref="H25" r:id="rId34" xr:uid="{00000000-0004-0000-0200-000021000000}"/>
    <hyperlink ref="F26" r:id="rId35" xr:uid="{00000000-0004-0000-0200-000022000000}"/>
    <hyperlink ref="H26" r:id="rId36" xr:uid="{00000000-0004-0000-0200-000023000000}"/>
    <hyperlink ref="F27" r:id="rId37" xr:uid="{00000000-0004-0000-0200-000024000000}"/>
    <hyperlink ref="H27" r:id="rId38" xr:uid="{00000000-0004-0000-0200-000025000000}"/>
    <hyperlink ref="F28" r:id="rId39" xr:uid="{00000000-0004-0000-0200-000026000000}"/>
    <hyperlink ref="H28" r:id="rId40" xr:uid="{00000000-0004-0000-0200-000027000000}"/>
    <hyperlink ref="F29" r:id="rId41" xr:uid="{00000000-0004-0000-0200-000028000000}"/>
    <hyperlink ref="H29" r:id="rId42" xr:uid="{00000000-0004-0000-0200-000029000000}"/>
    <hyperlink ref="F30" r:id="rId43" xr:uid="{00000000-0004-0000-0200-00002A000000}"/>
    <hyperlink ref="H30" r:id="rId44" xr:uid="{00000000-0004-0000-0200-00002B000000}"/>
    <hyperlink ref="F31" r:id="rId45" xr:uid="{00000000-0004-0000-0200-00002C000000}"/>
    <hyperlink ref="H31" r:id="rId46" xr:uid="{00000000-0004-0000-0200-00002D000000}"/>
    <hyperlink ref="F33" r:id="rId47" xr:uid="{00000000-0004-0000-0200-00002E000000}"/>
    <hyperlink ref="H33" r:id="rId48" xr:uid="{00000000-0004-0000-0200-00002F000000}"/>
    <hyperlink ref="F34" r:id="rId49" xr:uid="{00000000-0004-0000-0200-000030000000}"/>
    <hyperlink ref="H34" r:id="rId50" xr:uid="{00000000-0004-0000-0200-000031000000}"/>
    <hyperlink ref="F36" r:id="rId51" xr:uid="{00000000-0004-0000-0200-000032000000}"/>
    <hyperlink ref="H36" r:id="rId52" xr:uid="{00000000-0004-0000-0200-000033000000}"/>
    <hyperlink ref="F37" r:id="rId53" xr:uid="{00000000-0004-0000-0200-000034000000}"/>
    <hyperlink ref="H37" r:id="rId54" xr:uid="{00000000-0004-0000-0200-000035000000}"/>
    <hyperlink ref="F38" r:id="rId55" xr:uid="{00000000-0004-0000-0200-000036000000}"/>
    <hyperlink ref="H38" r:id="rId56" xr:uid="{00000000-0004-0000-0200-000037000000}"/>
    <hyperlink ref="H39" r:id="rId57" xr:uid="{00000000-0004-0000-0200-000038000000}"/>
    <hyperlink ref="H40" r:id="rId58" xr:uid="{00000000-0004-0000-0200-000039000000}"/>
    <hyperlink ref="F41" r:id="rId59" xr:uid="{00000000-0004-0000-0200-00003A000000}"/>
    <hyperlink ref="H41" r:id="rId60" xr:uid="{00000000-0004-0000-0200-00003B000000}"/>
    <hyperlink ref="F42" r:id="rId61" xr:uid="{00000000-0004-0000-0200-00003C000000}"/>
    <hyperlink ref="H42" r:id="rId62" xr:uid="{00000000-0004-0000-0200-00003D000000}"/>
    <hyperlink ref="F43" r:id="rId63" xr:uid="{00000000-0004-0000-0200-00003E000000}"/>
    <hyperlink ref="H43" r:id="rId64" xr:uid="{00000000-0004-0000-0200-00003F000000}"/>
    <hyperlink ref="F44" r:id="rId65" xr:uid="{00000000-0004-0000-0200-000040000000}"/>
    <hyperlink ref="H44" r:id="rId66" xr:uid="{00000000-0004-0000-0200-000041000000}"/>
    <hyperlink ref="F45" r:id="rId67" xr:uid="{00000000-0004-0000-0200-000042000000}"/>
    <hyperlink ref="H45" r:id="rId68" xr:uid="{00000000-0004-0000-0200-000043000000}"/>
    <hyperlink ref="F46" r:id="rId69" xr:uid="{00000000-0004-0000-0200-000044000000}"/>
    <hyperlink ref="H46" r:id="rId70" xr:uid="{00000000-0004-0000-0200-000045000000}"/>
    <hyperlink ref="F47" r:id="rId71" xr:uid="{00000000-0004-0000-0200-000046000000}"/>
    <hyperlink ref="H47" r:id="rId72" xr:uid="{00000000-0004-0000-0200-000047000000}"/>
    <hyperlink ref="F48" r:id="rId73" xr:uid="{00000000-0004-0000-0200-000048000000}"/>
    <hyperlink ref="H48" r:id="rId74" xr:uid="{00000000-0004-0000-0200-000049000000}"/>
    <hyperlink ref="F49" r:id="rId75" xr:uid="{00000000-0004-0000-0200-00004A000000}"/>
    <hyperlink ref="H49" r:id="rId76" xr:uid="{00000000-0004-0000-0200-00004B000000}"/>
    <hyperlink ref="F50" r:id="rId77" xr:uid="{00000000-0004-0000-0200-00004C000000}"/>
    <hyperlink ref="H50" r:id="rId78" xr:uid="{00000000-0004-0000-0200-00004D000000}"/>
    <hyperlink ref="F53" r:id="rId79" xr:uid="{00000000-0004-0000-0200-00004E000000}"/>
    <hyperlink ref="H53" r:id="rId80" xr:uid="{00000000-0004-0000-0200-00004F000000}"/>
    <hyperlink ref="F54" r:id="rId81" xr:uid="{00000000-0004-0000-0200-000050000000}"/>
    <hyperlink ref="H54" r:id="rId82" xr:uid="{00000000-0004-0000-0200-000051000000}"/>
    <hyperlink ref="F55" r:id="rId83" xr:uid="{00000000-0004-0000-0200-000052000000}"/>
    <hyperlink ref="H55" r:id="rId84" xr:uid="{00000000-0004-0000-0200-000053000000}"/>
    <hyperlink ref="F56" r:id="rId85" xr:uid="{00000000-0004-0000-0200-000054000000}"/>
    <hyperlink ref="H56" r:id="rId86" xr:uid="{00000000-0004-0000-0200-000055000000}"/>
    <hyperlink ref="F57" r:id="rId87" xr:uid="{00000000-0004-0000-0200-000056000000}"/>
    <hyperlink ref="H57" r:id="rId88" xr:uid="{00000000-0004-0000-0200-000057000000}"/>
    <hyperlink ref="F58" r:id="rId89" xr:uid="{00000000-0004-0000-0200-000058000000}"/>
    <hyperlink ref="H58" r:id="rId90" xr:uid="{00000000-0004-0000-0200-000059000000}"/>
    <hyperlink ref="F59" r:id="rId91" xr:uid="{00000000-0004-0000-0200-00005A000000}"/>
    <hyperlink ref="H59" r:id="rId92" xr:uid="{00000000-0004-0000-0200-00005B000000}"/>
    <hyperlink ref="F60" r:id="rId93" xr:uid="{00000000-0004-0000-0200-00005C000000}"/>
    <hyperlink ref="H60" r:id="rId94" xr:uid="{00000000-0004-0000-0200-00005D000000}"/>
    <hyperlink ref="F61" r:id="rId95" xr:uid="{00000000-0004-0000-0200-00005E000000}"/>
    <hyperlink ref="H61" r:id="rId96" xr:uid="{00000000-0004-0000-0200-00005F000000}"/>
    <hyperlink ref="F62" r:id="rId97" xr:uid="{00000000-0004-0000-0200-000060000000}"/>
    <hyperlink ref="H62" r:id="rId98" xr:uid="{00000000-0004-0000-0200-000061000000}"/>
    <hyperlink ref="H63" r:id="rId99" xr:uid="{00000000-0004-0000-0200-000062000000}"/>
    <hyperlink ref="H64" r:id="rId100" xr:uid="{00000000-0004-0000-0200-000063000000}"/>
  </hyperlinks>
  <pageMargins left="0.25" right="0.2" top="0.25" bottom="0.25" header="0" footer="0"/>
  <pageSetup paperSize="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CCE4"/>
  </sheetPr>
  <dimension ref="A1:Z1000"/>
  <sheetViews>
    <sheetView workbookViewId="0">
      <selection activeCell="A2" sqref="A2:I2"/>
    </sheetView>
  </sheetViews>
  <sheetFormatPr defaultColWidth="14.42578125" defaultRowHeight="15" customHeight="1"/>
  <cols>
    <col min="1" max="1" width="9.85546875" customWidth="1"/>
    <col min="2" max="2" width="37.7109375" customWidth="1"/>
    <col min="3" max="3" width="21.28515625" customWidth="1"/>
    <col min="4" max="4" width="51.140625" customWidth="1"/>
    <col min="5" max="5" width="18.7109375" customWidth="1"/>
    <col min="6" max="6" width="35.140625" customWidth="1"/>
    <col min="7" max="7" width="21.7109375" customWidth="1"/>
    <col min="8" max="8" width="36.28515625" customWidth="1"/>
    <col min="9" max="9" width="36.140625" customWidth="1"/>
    <col min="10" max="26" width="8.85546875" customWidth="1"/>
  </cols>
  <sheetData>
    <row r="1" spans="1:26" ht="38.25" customHeight="1">
      <c r="A1" s="136" t="s">
        <v>355</v>
      </c>
      <c r="B1" s="137"/>
      <c r="C1" s="137"/>
      <c r="D1" s="137"/>
      <c r="E1" s="137"/>
      <c r="F1" s="137"/>
      <c r="G1" s="137"/>
      <c r="H1" s="137"/>
      <c r="I1" s="137"/>
      <c r="J1" s="88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53.25" customHeight="1">
      <c r="A2" s="136" t="s">
        <v>74</v>
      </c>
      <c r="B2" s="137"/>
      <c r="C2" s="137"/>
      <c r="D2" s="137"/>
      <c r="E2" s="137"/>
      <c r="F2" s="137"/>
      <c r="G2" s="137"/>
      <c r="H2" s="137"/>
      <c r="I2" s="137"/>
      <c r="J2" s="88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4.25" customHeight="1">
      <c r="A3" s="138"/>
      <c r="B3" s="137"/>
      <c r="C3" s="137"/>
      <c r="D3" s="137"/>
      <c r="E3" s="137"/>
      <c r="F3" s="137"/>
      <c r="G3" s="137"/>
      <c r="H3" s="137"/>
      <c r="I3" s="137"/>
      <c r="J3" s="90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38.25" customHeight="1">
      <c r="A4" s="161"/>
      <c r="B4" s="137"/>
      <c r="C4" s="137"/>
      <c r="D4" s="137"/>
      <c r="E4" s="137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4.25" customHeight="1">
      <c r="A5" s="91" t="s">
        <v>76</v>
      </c>
      <c r="B5" s="91" t="s">
        <v>77</v>
      </c>
      <c r="C5" s="91" t="s">
        <v>78</v>
      </c>
      <c r="D5" s="91" t="s">
        <v>79</v>
      </c>
      <c r="E5" s="92" t="s">
        <v>80</v>
      </c>
      <c r="F5" s="27" t="s">
        <v>81</v>
      </c>
      <c r="G5" s="93" t="s">
        <v>82</v>
      </c>
      <c r="H5" s="27" t="s">
        <v>83</v>
      </c>
      <c r="I5" s="27" t="s">
        <v>84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30" customHeight="1">
      <c r="A6" s="94">
        <v>1</v>
      </c>
      <c r="B6" s="95">
        <v>45612</v>
      </c>
      <c r="C6" s="96" t="s">
        <v>85</v>
      </c>
      <c r="D6" s="39" t="s">
        <v>91</v>
      </c>
      <c r="E6" s="59">
        <v>23.31</v>
      </c>
      <c r="F6" s="41" t="s">
        <v>92</v>
      </c>
      <c r="G6" s="42" t="s">
        <v>93</v>
      </c>
      <c r="H6" s="41" t="s">
        <v>94</v>
      </c>
      <c r="I6" s="52" t="s">
        <v>95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54.75" customHeight="1">
      <c r="A7" s="37">
        <v>2</v>
      </c>
      <c r="B7" s="95">
        <v>45613</v>
      </c>
      <c r="C7" s="38" t="s">
        <v>85</v>
      </c>
      <c r="D7" s="45" t="s">
        <v>96</v>
      </c>
      <c r="E7" s="48">
        <v>28.48</v>
      </c>
      <c r="F7" s="41" t="s">
        <v>97</v>
      </c>
      <c r="G7" s="42" t="s">
        <v>98</v>
      </c>
      <c r="H7" s="41" t="s">
        <v>99</v>
      </c>
      <c r="I7" s="97" t="s">
        <v>100</v>
      </c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30" customHeight="1">
      <c r="A8" s="37">
        <v>3</v>
      </c>
      <c r="B8" s="95">
        <v>45619</v>
      </c>
      <c r="C8" s="38" t="s">
        <v>85</v>
      </c>
      <c r="D8" s="43" t="s">
        <v>101</v>
      </c>
      <c r="E8" s="48">
        <v>40.31</v>
      </c>
      <c r="F8" s="41" t="s">
        <v>102</v>
      </c>
      <c r="G8" s="42" t="s">
        <v>103</v>
      </c>
      <c r="H8" s="41" t="s">
        <v>104</v>
      </c>
      <c r="I8" s="52" t="s">
        <v>105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30" customHeight="1">
      <c r="A9" s="37">
        <v>4</v>
      </c>
      <c r="B9" s="95">
        <v>45620</v>
      </c>
      <c r="C9" s="38" t="s">
        <v>85</v>
      </c>
      <c r="D9" s="43" t="s">
        <v>136</v>
      </c>
      <c r="E9" s="48">
        <v>37.21</v>
      </c>
      <c r="F9" s="41" t="s">
        <v>137</v>
      </c>
      <c r="G9" s="42" t="s">
        <v>138</v>
      </c>
      <c r="H9" s="41" t="s">
        <v>139</v>
      </c>
      <c r="I9" s="52" t="s">
        <v>140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30" customHeight="1">
      <c r="A10" s="37">
        <v>5</v>
      </c>
      <c r="B10" s="95">
        <v>45626</v>
      </c>
      <c r="C10" s="38" t="s">
        <v>85</v>
      </c>
      <c r="D10" s="45" t="s">
        <v>141</v>
      </c>
      <c r="E10" s="48">
        <v>44.02</v>
      </c>
      <c r="F10" s="41" t="s">
        <v>142</v>
      </c>
      <c r="G10" s="42" t="s">
        <v>143</v>
      </c>
      <c r="H10" s="41" t="s">
        <v>144</v>
      </c>
      <c r="I10" s="52" t="s">
        <v>145</v>
      </c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30" customHeight="1">
      <c r="A11" s="37">
        <v>6</v>
      </c>
      <c r="B11" s="95">
        <v>45627</v>
      </c>
      <c r="C11" s="38" t="s">
        <v>85</v>
      </c>
      <c r="D11" s="43" t="s">
        <v>156</v>
      </c>
      <c r="E11" s="48">
        <v>42.13</v>
      </c>
      <c r="F11" s="41" t="s">
        <v>157</v>
      </c>
      <c r="G11" s="42" t="s">
        <v>158</v>
      </c>
      <c r="H11" s="41" t="s">
        <v>159</v>
      </c>
      <c r="I11" s="52" t="s">
        <v>160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30" customHeight="1">
      <c r="A12" s="37">
        <v>7</v>
      </c>
      <c r="B12" s="95">
        <v>45633</v>
      </c>
      <c r="C12" s="38" t="s">
        <v>85</v>
      </c>
      <c r="D12" s="45" t="s">
        <v>166</v>
      </c>
      <c r="E12" s="48">
        <v>40.380000000000003</v>
      </c>
      <c r="F12" s="41" t="s">
        <v>167</v>
      </c>
      <c r="G12" s="42" t="s">
        <v>168</v>
      </c>
      <c r="H12" s="41" t="s">
        <v>169</v>
      </c>
      <c r="I12" s="55" t="s">
        <v>170</v>
      </c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30" customHeight="1">
      <c r="A13" s="37">
        <v>8</v>
      </c>
      <c r="B13" s="95">
        <v>45634</v>
      </c>
      <c r="C13" s="38" t="s">
        <v>85</v>
      </c>
      <c r="D13" s="43" t="s">
        <v>181</v>
      </c>
      <c r="E13" s="48">
        <v>44.05</v>
      </c>
      <c r="F13" s="41" t="s">
        <v>182</v>
      </c>
      <c r="G13" s="42" t="s">
        <v>183</v>
      </c>
      <c r="H13" s="41" t="s">
        <v>184</v>
      </c>
      <c r="I13" s="57" t="s">
        <v>185</v>
      </c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30" customHeight="1">
      <c r="A14" s="37">
        <v>9</v>
      </c>
      <c r="B14" s="95">
        <v>45640</v>
      </c>
      <c r="C14" s="38" t="s">
        <v>85</v>
      </c>
      <c r="D14" s="45" t="s">
        <v>186</v>
      </c>
      <c r="E14" s="48">
        <v>42.32</v>
      </c>
      <c r="F14" s="41" t="s">
        <v>187</v>
      </c>
      <c r="G14" s="42" t="s">
        <v>188</v>
      </c>
      <c r="H14" s="41" t="s">
        <v>189</v>
      </c>
      <c r="I14" s="50" t="s">
        <v>190</v>
      </c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30" customHeight="1">
      <c r="A15" s="37">
        <v>10</v>
      </c>
      <c r="B15" s="95">
        <v>45647</v>
      </c>
      <c r="C15" s="38" t="s">
        <v>85</v>
      </c>
      <c r="D15" s="43" t="s">
        <v>196</v>
      </c>
      <c r="E15" s="59">
        <v>41.34</v>
      </c>
      <c r="F15" s="41" t="s">
        <v>197</v>
      </c>
      <c r="G15" s="42" t="s">
        <v>198</v>
      </c>
      <c r="H15" s="41" t="s">
        <v>199</v>
      </c>
      <c r="I15" s="50" t="s">
        <v>200</v>
      </c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30" customHeight="1">
      <c r="A16" s="37">
        <v>11</v>
      </c>
      <c r="B16" s="95">
        <v>45648</v>
      </c>
      <c r="C16" s="38" t="s">
        <v>85</v>
      </c>
      <c r="D16" s="43" t="s">
        <v>207</v>
      </c>
      <c r="E16" s="59">
        <v>42.38</v>
      </c>
      <c r="F16" s="41" t="s">
        <v>208</v>
      </c>
      <c r="G16" s="42" t="s">
        <v>209</v>
      </c>
      <c r="H16" s="41" t="s">
        <v>210</v>
      </c>
      <c r="I16" s="50" t="s">
        <v>211</v>
      </c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30" customHeight="1">
      <c r="A17" s="37">
        <v>12</v>
      </c>
      <c r="B17" s="95">
        <v>45668</v>
      </c>
      <c r="C17" s="38" t="s">
        <v>85</v>
      </c>
      <c r="D17" s="43" t="s">
        <v>244</v>
      </c>
      <c r="E17" s="48">
        <v>42.4</v>
      </c>
      <c r="F17" s="41" t="s">
        <v>245</v>
      </c>
      <c r="G17" s="42" t="s">
        <v>225</v>
      </c>
      <c r="H17" s="41" t="s">
        <v>246</v>
      </c>
      <c r="I17" s="50" t="s">
        <v>247</v>
      </c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0" customHeight="1">
      <c r="A18" s="37">
        <v>13</v>
      </c>
      <c r="B18" s="95">
        <v>45669</v>
      </c>
      <c r="C18" s="38" t="s">
        <v>85</v>
      </c>
      <c r="D18" s="43" t="s">
        <v>248</v>
      </c>
      <c r="E18" s="48">
        <v>44.35</v>
      </c>
      <c r="F18" s="41" t="s">
        <v>249</v>
      </c>
      <c r="G18" s="42" t="s">
        <v>250</v>
      </c>
      <c r="H18" s="41" t="s">
        <v>251</v>
      </c>
      <c r="I18" s="52" t="s">
        <v>252</v>
      </c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30" customHeight="1">
      <c r="A19" s="37">
        <v>14</v>
      </c>
      <c r="B19" s="95">
        <v>45675</v>
      </c>
      <c r="C19" s="38" t="s">
        <v>85</v>
      </c>
      <c r="D19" s="43" t="s">
        <v>253</v>
      </c>
      <c r="E19" s="48">
        <v>41.44</v>
      </c>
      <c r="F19" s="41" t="s">
        <v>254</v>
      </c>
      <c r="G19" s="42" t="s">
        <v>103</v>
      </c>
      <c r="H19" s="41" t="s">
        <v>255</v>
      </c>
      <c r="I19" s="52" t="s">
        <v>256</v>
      </c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4.25" customHeight="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4.25" customHeight="1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4.25" customHeigh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4.25" customHeigh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4.2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4.2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4.2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4.2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4.2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4.2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4.2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4.2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4.2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4.2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4.2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4.2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4.2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4.2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4.2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4.2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4.2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4.2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4.2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4.2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4.2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4.2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4.2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4.2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4.2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4.2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4.2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4.2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4.2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4.2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4.2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4.2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4.2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4.2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4.2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4.2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4.2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4.2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4.2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4.2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4.2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4.2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4.2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4.2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4.2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4.2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4.2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4.2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4.2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4.2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4.2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4.2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4.2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4.2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4.2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4.2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4.2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4.2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4.2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4.2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4.2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4.2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4.2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4.2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4.2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4.2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4.2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4.2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4.2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4.2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4.2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4.2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4.2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4.2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4.2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4.2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4.2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4.2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4.2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4.2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4.2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4.2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4.2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4.2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4.2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4.2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4.2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4.2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4.2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4.2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4.2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4.2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4.2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4.2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4.2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4.2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4.2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4.2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4.2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4.2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4.2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4.2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4.2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4.2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4.2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4.2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4.2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4.2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4.2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4.2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4.2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4.2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4.2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4.2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4.2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4.2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4.2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4.2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4.2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4.2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4.2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4.2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4.2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4.2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4.2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4.2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4.2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4.2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4.2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4.2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4.2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4.2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4.2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4.2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4.2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4.2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4.2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4.2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4.2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4.2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4.2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4.2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4.2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4.2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4.2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4.2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4.2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4.2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4.2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4.2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4.2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4.2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4.2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4.2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4.2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4.2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4.2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4.2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4.2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4.2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4.2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4.2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4.2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4.2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4.2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4.2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4.2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4.2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4.2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4.2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4.2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4.2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4.2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4.2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4.2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4.2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4.2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4.2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4.2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4.2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4.2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4.2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4.2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4.2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4.2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4.2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4.2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4.2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4.2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4.2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4.2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4.2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4.2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4.2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4.2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4.2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4.2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4.2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4.2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4.2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4.2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4.2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4.2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4.2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4.2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4.2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4.2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4.2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4.2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4.2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4.2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4.2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4.2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4.2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4.2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4.2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4.2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4.2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4.2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4.2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4.2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4.2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4.2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4.2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4.2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4.2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4.2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4.2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4.2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4.2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4.2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4.2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4.2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4.2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4.2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4.2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4.2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4.2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4.2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4.2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4.2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4.2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4.2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4.2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4.2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4.2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4.2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4.2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4.2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4.2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4.2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4.2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4.2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4.2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4.2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4.2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4.2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4.2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4.2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4.2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4.2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4.2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4.2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4.2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4.2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4.2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4.2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4.2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4.2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4.2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4.2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4.2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4.2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4.2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4.2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4.2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4.2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4.2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4.2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4.2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4.2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4.2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4.2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4.2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4.2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4.2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4.2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4.2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4.2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4.2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4.2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4.2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4.2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4.2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4.2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4.2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4.2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4.2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4.2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4.2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4.2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4.2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4.2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4.2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4.2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4.2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4.2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4.2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4.2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4.2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4.2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4.2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4.2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4.2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4.2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4.2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4.2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4.2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4.2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4.2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4.2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4.2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4.2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4.2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4.2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4.2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4.2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4.2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4.2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4.2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4.2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4.2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4.2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4.2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4.2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4.2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4.2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4.2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4.2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4.2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4.2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4.2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4.2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4.2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4.2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4.2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4.2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4.2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4.2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4.2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4.2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4.2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4.2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4.2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4.2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4.2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4.2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4.2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4.2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4.2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4.2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4.2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4.2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4.2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4.2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4.2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4.2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4.2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4.2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4.2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4.2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4.2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4.2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4.2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4.2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4.2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4.2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4.2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4.2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4.2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4.2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4.2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4.2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4.2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4.2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4.2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4.2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4.2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4.2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4.2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4.2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4.2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4.2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4.2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4.2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4.2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4.2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4.2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4.2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4.2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4.2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4.2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4.2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4.2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4.2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4.2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4.2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4.2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4.2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4.2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4.2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4.2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4.2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4.2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4.2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4.2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4.2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4.2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4.2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4.2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4.2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4.2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4.2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4.2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4.2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4.2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4.2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4.2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4.2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4.2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4.2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4.2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4.2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4.2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4.2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4.2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4.2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4.2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4.2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4.2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4.2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4.2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4.2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4.2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4.2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4.2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4.2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4.2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4.2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4.2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4.2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4.2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4.2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4.2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4.2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4.2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4.2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4.2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4.2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4.2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4.2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4.2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4.2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4.2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4.2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4.2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4.2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4.2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4.2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4.2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4.2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4.2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4.2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4.2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4.2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4.2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4.2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4.2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4.2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4.2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4.2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4.2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4.2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4.2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4.2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4.2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4.2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4.2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4.2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4.2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4.2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4.2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4.2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4.2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4.2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4.2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4.2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4.2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4.2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4.2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4.2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4.2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4.2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4.2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4.2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4.2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4.2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4.2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4.2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4.2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4.2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4.2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4.2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4.2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4.2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4.2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4.2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4.2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4.2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4.2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4.2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4.2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4.2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4.2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4.2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4.2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4.2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4.2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4.2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4.2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4.2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4.2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4.2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4.2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4.2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4.2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4.2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4.2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4.2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4.2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4.2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4.2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4.2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4.2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4.2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4.2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4.2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4.2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4.2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4.2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4.2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4.2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4.2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4.2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4.2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4.2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4.2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4.2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4.2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4.2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4.2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4.2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4.2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4.2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4.2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4.2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4.2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4.2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4.2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4.2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4.2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4.2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4.2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4.2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4.2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4.2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4.2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4.2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4.2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4.2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4.2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4.2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4.2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4.2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4.2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4.2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4.2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4.2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4.2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4.2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4.2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4.2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4.2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4.2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4.2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4.2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4.2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4.2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4.2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4.2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4.2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4.2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4.2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4.2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4.2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4.2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4.2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4.2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4.2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4.2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4.2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4.2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4.2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4.2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4.2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4.2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4.2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4.2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4.2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4.2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4.2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4.2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4.2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4.2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4.2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4.2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4.2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4.2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4.2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4.2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4.2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4.2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4.2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4.2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4.2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4.2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4.2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4.2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4.2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4.2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4.2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4.2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4.2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4.2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4.2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4.2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4.2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4.2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4.2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4.2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4.2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4.2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4.2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4.2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4.2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4.2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4.2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4.2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4.2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4.2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4.2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4.2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4.2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4.2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4.2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4.2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4.2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4.2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4.2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4.2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4.2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4.2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4.2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4.2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4.2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4.2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4.2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4.2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4.2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4.2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4.2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4.2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4.2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4.2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4.2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4.2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4.2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4.2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4.2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4.2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4.2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4.2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4.2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4.2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4.2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4.2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4.2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4.2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4.2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4.2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4.2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4.2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4.2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4.2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4.2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4.2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4.2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4.2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4.2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4.2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4.2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4.2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4.2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4.2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4.2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4.2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4.2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4.2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4.2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4.2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4.2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4.2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4.2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4.2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4.2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4.2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4.2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4.2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4.2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4.2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4.2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4.2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4.2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4.2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4.2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4.2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4.2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4.2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4.2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4.2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4.2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4.2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4.2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4.2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4.2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4.2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4.2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4.2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4.2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4.2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4.2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4.2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4.2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4.2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4.2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4.2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4.2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4.2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4.2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4.2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4.2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4.2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4.2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4.2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4.2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4.2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4.2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4.2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4.2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4.2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4.2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4.2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4.2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4.2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4.2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4.2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4.2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4.2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4.2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4.2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4.2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4.2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4.2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4.2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4.2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4.2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4.2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4.2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4.2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4.2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4.2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4.2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4.2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4.2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4.2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4.2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4.2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4.2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4.2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4.2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4.2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4.2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4.2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4.2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4.2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4.2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4.2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4.2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4.2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4.2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4.2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4.2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4.2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4.2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4.2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4.2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4.2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4.2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4.2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4.2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4.2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4.2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4.2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4.2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4.2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4.2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4.2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4.2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4.2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4.2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4.2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4.2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4.2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4.2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4.2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4.2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4.2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4.2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4.2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4.2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4.2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4.2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4.2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4.2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4.2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4.2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4.2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4.2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4.2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4.2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4.2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4.2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4.2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4.2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4.2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4.2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4.2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4.2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4.2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4.2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4.2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4.2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4.2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4.2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4.2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4.2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4.2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4.2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4.2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4.2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4.2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4.2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4.2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4.2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4.2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4.2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4.2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4.2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4.2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4.2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4.2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4.2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4.2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4.2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4.2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4.2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4.2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4.2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4.2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4.2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4.2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4.2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4.2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4.2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4.2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4.2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4.2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4.2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4.2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4.2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4.2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4.2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4.2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4.2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4.2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4.2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4.2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4.2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4.2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4.2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4.2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4.2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4.2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4.2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4.2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4.2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4.2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4.2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4.2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4.2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4.2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4.2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4.2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4.2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4.2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4.2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4.2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4.2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4.2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4.2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4.2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4.2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4.2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4.2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4.2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4.2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4.2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4.2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4.2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4.2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4.2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4.2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4.2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4.2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4.2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4.2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4.2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4.2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4.2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4.2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4.2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4.2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4.2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4.2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4.2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4.2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4.2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4.2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4.2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4.2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4.2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4.2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4.2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4.2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4.2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4.2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4.2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4.2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4.2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4.2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4.2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4.2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4.2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4.2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4.2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4.2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4.2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4">
    <mergeCell ref="A1:I1"/>
    <mergeCell ref="A2:I2"/>
    <mergeCell ref="A3:I3"/>
    <mergeCell ref="A4:E4"/>
  </mergeCells>
  <hyperlinks>
    <hyperlink ref="F6" r:id="rId1" xr:uid="{00000000-0004-0000-0300-000000000000}"/>
    <hyperlink ref="H6" r:id="rId2" xr:uid="{00000000-0004-0000-0300-000001000000}"/>
    <hyperlink ref="F7" r:id="rId3" xr:uid="{00000000-0004-0000-0300-000002000000}"/>
    <hyperlink ref="H7" r:id="rId4" xr:uid="{00000000-0004-0000-0300-000003000000}"/>
    <hyperlink ref="F8" r:id="rId5" xr:uid="{00000000-0004-0000-0300-000004000000}"/>
    <hyperlink ref="H8" r:id="rId6" xr:uid="{00000000-0004-0000-0300-000005000000}"/>
    <hyperlink ref="F9" r:id="rId7" xr:uid="{00000000-0004-0000-0300-000006000000}"/>
    <hyperlink ref="H9" r:id="rId8" xr:uid="{00000000-0004-0000-0300-000007000000}"/>
    <hyperlink ref="F10" r:id="rId9" xr:uid="{00000000-0004-0000-0300-000008000000}"/>
    <hyperlink ref="H10" r:id="rId10" xr:uid="{00000000-0004-0000-0300-000009000000}"/>
    <hyperlink ref="F11" r:id="rId11" xr:uid="{00000000-0004-0000-0300-00000A000000}"/>
    <hyperlink ref="H11" r:id="rId12" xr:uid="{00000000-0004-0000-0300-00000B000000}"/>
    <hyperlink ref="F12" r:id="rId13" xr:uid="{00000000-0004-0000-0300-00000C000000}"/>
    <hyperlink ref="F13" r:id="rId14" xr:uid="{00000000-0004-0000-0300-00000D000000}"/>
    <hyperlink ref="H13" r:id="rId15" xr:uid="{00000000-0004-0000-0300-00000E000000}"/>
    <hyperlink ref="F14" r:id="rId16" xr:uid="{00000000-0004-0000-0300-00000F000000}"/>
    <hyperlink ref="H14" r:id="rId17" xr:uid="{00000000-0004-0000-0300-000010000000}"/>
    <hyperlink ref="F15" r:id="rId18" xr:uid="{00000000-0004-0000-0300-000011000000}"/>
    <hyperlink ref="F16" r:id="rId19" xr:uid="{00000000-0004-0000-0300-000012000000}"/>
    <hyperlink ref="F17" r:id="rId20" xr:uid="{00000000-0004-0000-0300-000013000000}"/>
    <hyperlink ref="F18" r:id="rId21" xr:uid="{00000000-0004-0000-0300-000014000000}"/>
    <hyperlink ref="H18" r:id="rId22" xr:uid="{00000000-0004-0000-0300-000015000000}"/>
    <hyperlink ref="F19" r:id="rId23" xr:uid="{00000000-0004-0000-0300-000016000000}"/>
    <hyperlink ref="H19" r:id="rId24" xr:uid="{00000000-0004-0000-0300-000017000000}"/>
  </hyperlinks>
  <pageMargins left="0.2" right="0.2" top="0.75" bottom="0.75" header="0" footer="0"/>
  <pageSetup paperSize="9" scale="7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tabSelected="1" workbookViewId="0">
      <selection activeCell="B2" sqref="B2"/>
    </sheetView>
  </sheetViews>
  <sheetFormatPr defaultColWidth="14.42578125" defaultRowHeight="15" customHeight="1"/>
  <cols>
    <col min="1" max="1" width="26.85546875" customWidth="1"/>
    <col min="2" max="2" width="44.7109375" customWidth="1"/>
    <col min="3" max="3" width="25.140625" customWidth="1"/>
    <col min="4" max="4" width="32.28515625" customWidth="1"/>
    <col min="5" max="5" width="25.7109375" customWidth="1"/>
    <col min="6" max="6" width="79.85546875" customWidth="1"/>
    <col min="7" max="7" width="86.5703125" customWidth="1"/>
    <col min="8" max="8" width="27" customWidth="1"/>
    <col min="9" max="9" width="24" customWidth="1"/>
    <col min="10" max="26" width="11.28515625" customWidth="1"/>
  </cols>
  <sheetData>
    <row r="1" spans="1:26">
      <c r="A1" s="98" t="s">
        <v>356</v>
      </c>
      <c r="B1" s="99"/>
      <c r="C1" s="99"/>
      <c r="D1" s="100"/>
      <c r="E1" s="100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>
      <c r="A2" s="102" t="s">
        <v>357</v>
      </c>
      <c r="B2" s="103">
        <v>45609</v>
      </c>
      <c r="C2" s="104" t="s">
        <v>358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>
      <c r="A3" s="102" t="s">
        <v>359</v>
      </c>
      <c r="B3" s="105">
        <v>8</v>
      </c>
      <c r="C3" s="104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>
      <c r="A4" s="102" t="s">
        <v>360</v>
      </c>
      <c r="B4" s="105" t="s">
        <v>361</v>
      </c>
      <c r="C4" s="104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30">
      <c r="A5" s="104" t="s">
        <v>362</v>
      </c>
      <c r="B5" s="106" t="s">
        <v>363</v>
      </c>
      <c r="C5" s="104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>
      <c r="A6" s="101"/>
      <c r="B6" s="107"/>
      <c r="C6" s="100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>
      <c r="A7" s="108" t="s">
        <v>364</v>
      </c>
      <c r="B7" s="109"/>
      <c r="C7" s="110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>
      <c r="A8" s="111" t="s">
        <v>357</v>
      </c>
      <c r="B8" s="112" t="str">
        <f>"วัน"&amp;TEXT($B$2,"[$-B000041E]dddd")&amp;"ที่ "&amp;DAY($B$2)&amp;" "&amp;TEXT($B$2,"[$-B000041E]mmm")&amp;" "&amp;RIGHT((YEAR($B$2)+543), 2)</f>
        <v>วันพุธที่ 13 พ.ย. 67</v>
      </c>
      <c r="C8" s="104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>
      <c r="A9" s="111" t="s">
        <v>79</v>
      </c>
      <c r="B9" s="112" t="str">
        <f t="array" ref="B9">TRIM(INDEX('3) ลิงก์วันเรียนปกติเทอม 1'!$D:$D,MATCH($B$2,'3) ลิงก์วันเรียนปกติเทอม 1'!$B:$B,0)))</f>
        <v>1.2.01 ความตั้งใจ</v>
      </c>
      <c r="C9" s="104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>
      <c r="A10" s="111" t="s">
        <v>365</v>
      </c>
      <c r="B10" s="112" t="str">
        <f>TRIM(LEFT(B9, SEARCH(" ", TRIM(B9)) ))</f>
        <v>1.2.01</v>
      </c>
      <c r="C10" s="104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>
      <c r="A11" s="111" t="s">
        <v>80</v>
      </c>
      <c r="B11" s="112" t="str">
        <f t="array" ref="B11">TRIM(INDEX('3) ลิงก์วันเรียนปกติเทอม 1'!$E:$E,MATCH($B$2,'3) ลิงก์วันเรียนปกติเทอม 1'!$B:$B,0)))</f>
        <v>31.51</v>
      </c>
      <c r="C11" s="104" t="s">
        <v>366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>
      <c r="A12" s="111" t="s">
        <v>81</v>
      </c>
      <c r="B12" s="113" t="str">
        <f t="array" ref="B12">TRIM(INDEX('3) ลิงก์วันเรียนปกติเทอม 1'!$F:$F,MATCH($B$2,'3) ลิงก์วันเรียนปกติเทอม 1'!$B:$B,0)))</f>
        <v>https://youtu.be/rGBrob_39Zs</v>
      </c>
      <c r="C12" s="104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>
      <c r="A13" s="111" t="s">
        <v>82</v>
      </c>
      <c r="B13" s="112" t="str">
        <f t="array" ref="B13">TRIM(INDEX('3) ลิงก์วันเรียนปกติเทอม 1'!$G:$G,MATCH($B$2,'3) ลิงก์วันเรียนปกติเทอม 1'!$B:$B,0)))</f>
        <v>13:44</v>
      </c>
      <c r="C13" s="104" t="s">
        <v>366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>
      <c r="A14" s="111" t="s">
        <v>83</v>
      </c>
      <c r="B14" s="113" t="str">
        <f t="array" ref="B14">TRIM(INDEX('3) ลิงก์วันเรียนปกติเทอม 1'!$H:$H,MATCH($B$2,'3) ลิงก์วันเรียนปกติเทอม 1'!$B:$B,0)))</f>
        <v>https://youtu.be/DnHVtsJ8xVw</v>
      </c>
      <c r="C14" s="104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>
      <c r="A15" s="111" t="s">
        <v>84</v>
      </c>
      <c r="B15" s="112" t="str">
        <f t="array" ref="B15">TRIM(INDEX('3) ลิงก์วันเรียนปกติเทอม 1'!$I:$I,MATCH($B$2,'3) ลิงก์วันเรียนปกติเทอม 1'!$B:$B,0)))</f>
        <v>อ.วรรณา ลิ่มพานิชย์</v>
      </c>
      <c r="C15" s="104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>
      <c r="C16" s="100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>
      <c r="A17" s="114" t="s">
        <v>1</v>
      </c>
      <c r="B17" s="115" t="s">
        <v>53</v>
      </c>
      <c r="C17" s="115" t="s">
        <v>57</v>
      </c>
      <c r="D17" s="116" t="s">
        <v>367</v>
      </c>
      <c r="E17" s="115" t="s">
        <v>78</v>
      </c>
      <c r="F17" s="115" t="s">
        <v>368</v>
      </c>
      <c r="G17" s="114" t="s">
        <v>369</v>
      </c>
      <c r="H17" s="114" t="s">
        <v>370</v>
      </c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45">
      <c r="A18" s="117">
        <v>1</v>
      </c>
      <c r="B18" s="104" t="s">
        <v>371</v>
      </c>
      <c r="C18" s="104"/>
      <c r="D18" s="104" t="str">
        <f>"จัดเตรียมข้อมูล"&amp;CHAR(10) &amp;B8 &amp; CHAR(10) &amp;B9</f>
        <v>จัดเตรียมข้อมูล
วันพุธที่ 13 พ.ย. 67
1.2.01 ความตั้งใจ</v>
      </c>
      <c r="E18" s="104" t="s">
        <v>63</v>
      </c>
      <c r="F18" s="112" t="str">
        <f t="shared" ref="F18:F21" si="0">D18</f>
        <v>จัดเตรียมข้อมูล
วันพุธที่ 13 พ.ย. 67
1.2.01 ความตั้งใจ</v>
      </c>
      <c r="G18" s="102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>
      <c r="A19" s="117">
        <f t="shared" ref="A19:A30" si="1">A18+1</f>
        <v>2</v>
      </c>
      <c r="B19" s="104" t="s">
        <v>372</v>
      </c>
      <c r="C19" s="104"/>
      <c r="D19" s="104" t="s">
        <v>372</v>
      </c>
      <c r="E19" s="118" t="s">
        <v>373</v>
      </c>
      <c r="F19" s="112" t="str">
        <f t="shared" si="0"/>
        <v>* เวลา 08.00 น. โพสต์</v>
      </c>
      <c r="G19" s="102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60">
      <c r="A20" s="117">
        <f t="shared" si="1"/>
        <v>3</v>
      </c>
      <c r="B20" s="104" t="s">
        <v>26</v>
      </c>
      <c r="C20" s="104" t="s">
        <v>59</v>
      </c>
      <c r="D20" s="104" t="s">
        <v>374</v>
      </c>
      <c r="E20" s="101" t="s">
        <v>63</v>
      </c>
      <c r="F20" s="119" t="str">
        <f t="shared" si="0"/>
        <v>ระเบียบปฏิบัติ การเรียนหลักสูตรวิทันตสาสมาธิ (ออนไลน์)
https://youtu.be/NRgY-1rIWtM</v>
      </c>
      <c r="G20" s="120" t="str">
        <f>HYPERLINK("https://youtu.be/NRgY-1rIWtM")</f>
        <v>https://youtu.be/NRgY-1rIWtM</v>
      </c>
      <c r="H20" s="121" t="e">
        <v>#NAME?</v>
      </c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15.75" customHeight="1">
      <c r="A21" s="117">
        <f t="shared" si="1"/>
        <v>4</v>
      </c>
      <c r="B21" s="104" t="s">
        <v>375</v>
      </c>
      <c r="C21" s="104"/>
      <c r="D21" s="104" t="s">
        <v>375</v>
      </c>
      <c r="E21" s="118" t="s">
        <v>376</v>
      </c>
      <c r="F21" s="112" t="str">
        <f t="shared" si="0"/>
        <v>* เวลา 17.45 น. โพสต์</v>
      </c>
      <c r="G21" s="102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148.5" customHeight="1">
      <c r="A22" s="117">
        <f t="shared" si="1"/>
        <v>5</v>
      </c>
      <c r="B22" s="104" t="s">
        <v>377</v>
      </c>
      <c r="C22" s="104" t="s">
        <v>378</v>
      </c>
      <c r="D22" s="104" t="s">
        <v>379</v>
      </c>
      <c r="E22" s="104">
        <v>17.45</v>
      </c>
      <c r="F22" s="112" t="e">
        <v>#NAME?</v>
      </c>
      <c r="G22" s="120" t="str">
        <f>HYPERLINK(VLOOKUP(D22,linkเรียนประจำวัน!E:G,3,FALSE))</f>
        <v>https://drive.google.com/file/d/1qEFjPE12L0OST-IfMwE0TqLEAok_Gj_Y/view?usp=drivesdk</v>
      </c>
      <c r="H22" s="101"/>
      <c r="I22" s="12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148.5" customHeight="1">
      <c r="A23" s="117">
        <f t="shared" si="1"/>
        <v>6</v>
      </c>
      <c r="B23" s="104" t="s">
        <v>380</v>
      </c>
      <c r="C23" s="104" t="s">
        <v>378</v>
      </c>
      <c r="D23" s="104" t="s">
        <v>381</v>
      </c>
      <c r="E23" s="104">
        <v>17.45</v>
      </c>
      <c r="F23" s="112" t="e">
        <v>#NAME?</v>
      </c>
      <c r="G23" s="120" t="str">
        <f>HYPERLINK(VLOOKUP(D23,linkเรียนประจำวัน!E:G,3,FALSE))</f>
        <v>https://drive.google.com/file/d/1fRZwcyO1bupTd_ZP73mlu2IJOa5sl0lO/view?usp=drivesdk</v>
      </c>
      <c r="H23" s="101"/>
      <c r="I23" s="12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148.5" customHeight="1">
      <c r="A24" s="117">
        <f t="shared" si="1"/>
        <v>7</v>
      </c>
      <c r="B24" s="100" t="s">
        <v>382</v>
      </c>
      <c r="C24" s="104" t="s">
        <v>378</v>
      </c>
      <c r="D24" s="104" t="str">
        <f>TRIM($B$10)&amp;"-Slide1.JPG"</f>
        <v>1.2.01-Slide1.JPG</v>
      </c>
      <c r="E24" s="104">
        <v>17.45</v>
      </c>
      <c r="F24" s="112" t="e">
        <v>#NAME?</v>
      </c>
      <c r="G24" s="120" t="str">
        <f>HYPERLINK(VLOOKUP(D24,linkรูปหัวข้อเรียน!E:G,3,FALSE))</f>
        <v>https://drive.google.com/file/d/1gw7fyIBKY2FgjMLA8IouQSlH3vAkMkHs/view?usp=drivesdk</v>
      </c>
      <c r="H24" s="101"/>
      <c r="I24" s="12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53.25" customHeight="1">
      <c r="A25" s="117">
        <f t="shared" si="1"/>
        <v>8</v>
      </c>
      <c r="B25" s="104" t="s">
        <v>5</v>
      </c>
      <c r="C25" s="104" t="s">
        <v>378</v>
      </c>
      <c r="D25" s="104" t="s">
        <v>383</v>
      </c>
      <c r="E25" s="104">
        <v>17.45</v>
      </c>
      <c r="F25" s="119" t="s">
        <v>383</v>
      </c>
      <c r="G25" s="120" t="s">
        <v>384</v>
      </c>
      <c r="H25" s="121" t="e">
        <v>#NAME?</v>
      </c>
      <c r="I25" s="12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36" customHeight="1">
      <c r="A26" s="117">
        <f t="shared" si="1"/>
        <v>9</v>
      </c>
      <c r="B26" s="104" t="s">
        <v>385</v>
      </c>
      <c r="C26" s="104"/>
      <c r="D26" s="104" t="s">
        <v>385</v>
      </c>
      <c r="E26" s="104"/>
      <c r="F26" s="112" t="str">
        <f t="shared" ref="F26:F30" si="2">D26</f>
        <v>* เวลา 18.00 น. โพสต์</v>
      </c>
      <c r="G26" s="120"/>
      <c r="H26" s="101"/>
      <c r="I26" s="12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148.5" customHeight="1">
      <c r="A27" s="117">
        <f t="shared" si="1"/>
        <v>10</v>
      </c>
      <c r="B27" s="104" t="s">
        <v>61</v>
      </c>
      <c r="C27" s="104" t="s">
        <v>60</v>
      </c>
      <c r="D27" s="104" t="s">
        <v>386</v>
      </c>
      <c r="E27" s="104">
        <f>'2)ลิงก์เรียนประจำวัน'!C4</f>
        <v>2.54</v>
      </c>
      <c r="F27" s="119" t="str">
        <f t="shared" si="2"/>
        <v>เรียนเชิญนักศึกษาเข้าสู่บทเรียน ร่วมบูชาพระรัตนตรัย และกล่าวคำสัตย์ปฏิญาณโดยพร้อมเพรียงกัน
https://youtu.be/ienVuHBQMxQ</v>
      </c>
      <c r="G27" s="120" t="s">
        <v>62</v>
      </c>
      <c r="H27" s="121" t="e">
        <v>#NAME?</v>
      </c>
      <c r="I27" s="12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5.75" customHeight="1">
      <c r="A28" s="117">
        <f t="shared" si="1"/>
        <v>11</v>
      </c>
      <c r="B28" s="104" t="str">
        <f>"* เวลา "&amp;E28&amp;" น. โพสต์"</f>
        <v>* เวลา 18.05 น. โพสต์</v>
      </c>
      <c r="C28" s="104"/>
      <c r="D28" s="104" t="str">
        <f>"* เวลา "&amp;E28&amp;" น. โพสต์"</f>
        <v>* เวลา 18.05 น. โพสต์</v>
      </c>
      <c r="E28" s="118" t="s">
        <v>387</v>
      </c>
      <c r="F28" s="112" t="str">
        <f t="shared" si="2"/>
        <v>* เวลา 18.05 น. โพสต์</v>
      </c>
      <c r="G28" s="102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78.75" customHeight="1">
      <c r="A29" s="117">
        <f t="shared" si="1"/>
        <v>12</v>
      </c>
      <c r="B29" s="104" t="str">
        <f t="shared" ref="B29:B30" si="3">D29</f>
        <v>วันพุธที่ 13 พ.ย. 67
หัวข้อ 1.2.01 ความตั้งใจ
เทปบรรยาย
https://youtu.be/rGBrob_39Zs</v>
      </c>
      <c r="C29" s="104"/>
      <c r="D29" s="104" t="str">
        <f>$B$8&amp; CHAR(10) &amp;"หัวข้อ " &amp; $B$9 &amp; CHAR(10) &amp;"เทปบรรยาย" &amp;CHAR(10) &amp;CHAR(10)  &amp;B12</f>
        <v>วันพุธที่ 13 พ.ย. 67
หัวข้อ 1.2.01 ความตั้งใจ
เทปบรรยาย
https://youtu.be/rGBrob_39Zs</v>
      </c>
      <c r="E29" s="104" t="str">
        <f>TEXT(B11,"00.00")</f>
        <v>31.51</v>
      </c>
      <c r="F29" s="119" t="str">
        <f t="shared" si="2"/>
        <v>วันพุธที่ 13 พ.ย. 67
หัวข้อ 1.2.01 ความตั้งใจ
เทปบรรยาย
https://youtu.be/rGBrob_39Zs</v>
      </c>
      <c r="G29" s="120" t="str">
        <f>HYPERLINK(B12)</f>
        <v>https://youtu.be/rGBrob_39Zs</v>
      </c>
      <c r="H29" s="121" t="e">
        <v>#NAME?</v>
      </c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78.75" customHeight="1">
      <c r="A30" s="117">
        <f t="shared" si="1"/>
        <v>13</v>
      </c>
      <c r="B30" s="104" t="str">
        <f t="shared" si="3"/>
        <v>* เวลา 18:37 น. โพสต์</v>
      </c>
      <c r="C30" s="104"/>
      <c r="D30" s="104" t="str">
        <f>"* เวลา "&amp;TEXT(E30,"hh:mm")&amp;" น. โพสต์"</f>
        <v>* เวลา 18:37 น. โพสต์</v>
      </c>
      <c r="E30" s="122">
        <f>TIME(LEFT(E28,2),RIGHT(E28,2),0)+IF(INT(RIGHT(E29,2))&gt;0,TIME(0,LEFT(E29,2)+1,0),TIME(0,LEFT(E29,2),0))</f>
        <v>0.77569444444444446</v>
      </c>
      <c r="F30" s="112" t="str">
        <f t="shared" si="2"/>
        <v>* เวลา 18:37 น. โพสต์</v>
      </c>
      <c r="G30" s="102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48.5" customHeight="1">
      <c r="A31" s="117">
        <f>A29+1</f>
        <v>13</v>
      </c>
      <c r="B31" s="104" t="s">
        <v>388</v>
      </c>
      <c r="C31" s="104" t="s">
        <v>378</v>
      </c>
      <c r="D31" s="104" t="s">
        <v>389</v>
      </c>
      <c r="E31" s="122">
        <f t="shared" ref="E31:E32" si="4">E30</f>
        <v>0.77569444444444446</v>
      </c>
      <c r="F31" s="112" t="e">
        <v>#NAME?</v>
      </c>
      <c r="G31" s="120" t="str">
        <f>HYPERLINK(VLOOKUP(D31,linkเรียนประจำวัน!E:G,3,FALSE))</f>
        <v>https://drive.google.com/file/d/1OJ5AltlO515XLHsEvLzcZqzf5DJzpgmd/view?usp=drivesdk</v>
      </c>
      <c r="H31" s="101"/>
      <c r="I31" s="12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148.5" customHeight="1">
      <c r="A32" s="117">
        <f t="shared" ref="A32:A43" si="5">A31+1</f>
        <v>14</v>
      </c>
      <c r="B32" s="104" t="s">
        <v>390</v>
      </c>
      <c r="C32" s="104"/>
      <c r="D32" s="104" t="str">
        <f>TRIM($B$10)&amp;"-Slide2.JPG"</f>
        <v>1.2.01-Slide2.JPG</v>
      </c>
      <c r="E32" s="122">
        <f t="shared" si="4"/>
        <v>0.77569444444444446</v>
      </c>
      <c r="F32" s="112" t="e">
        <v>#NAME?</v>
      </c>
      <c r="G32" s="120" t="str">
        <f>HYPERLINK(VLOOKUP(D32,linkรูปหัวข้อเรียน!E:G,3,FALSE))</f>
        <v>https://drive.google.com/file/d/11SiQpgue7bTguuuF-WXlkRC_KpeN0KU1/view?usp=drivesdk</v>
      </c>
      <c r="H32" s="101"/>
      <c r="I32" s="12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148.5" customHeight="1">
      <c r="A33" s="117">
        <f t="shared" si="5"/>
        <v>15</v>
      </c>
      <c r="B33" s="104" t="s">
        <v>391</v>
      </c>
      <c r="C33" s="104"/>
      <c r="D33" s="104" t="str">
        <f>TRIM(B10)</f>
        <v>1.2.01</v>
      </c>
      <c r="E33" s="104" t="str">
        <f>B15</f>
        <v>อ.วรรณา ลิ่มพานิชย์</v>
      </c>
      <c r="F33" s="112" t="e">
        <v>#NAME?</v>
      </c>
      <c r="G33" s="120" t="str">
        <f>HYPERLINK(VLOOKUP(D33,linkรูปอาจารย์!E:G,3,FALSE))</f>
        <v>https://drive.google.com/file/d/1yaG809Lyzt_OdF0Iv4lcZmuL7Ow5CHmu/view?usp=drivesdk</v>
      </c>
      <c r="H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48.5" customHeight="1">
      <c r="A34" s="117">
        <f t="shared" si="5"/>
        <v>16</v>
      </c>
      <c r="B34" s="104" t="str">
        <f t="shared" ref="B34:B41" si="6">D34</f>
        <v>วันพุธที่ 13 พ.ย. 67
หัวข้อ 1.2.01 ความตั้งใจ
เทปทบทวนการบรรยาย:
อ.วรรณา ลิ่มพานิชย์
https://youtu.be/DnHVtsJ8xVw</v>
      </c>
      <c r="C34" s="104"/>
      <c r="D34" s="104" t="str">
        <f>$B$8&amp; CHAR(10) &amp;"หัวข้อ " &amp; $B$9 &amp; CHAR(10) &amp;"เทปทบทวนการบรรยาย:" &amp;CHAR(10) &amp; B15 &amp;CHAR(10) &amp;CHAR(10) &amp;B14</f>
        <v>วันพุธที่ 13 พ.ย. 67
หัวข้อ 1.2.01 ความตั้งใจ
เทปทบทวนการบรรยาย:
อ.วรรณา ลิ่มพานิชย์
https://youtu.be/DnHVtsJ8xVw</v>
      </c>
      <c r="E34" s="104" t="str">
        <f>B13</f>
        <v>13:44</v>
      </c>
      <c r="F34" s="119" t="str">
        <f t="shared" ref="F34:F41" si="7">D34</f>
        <v>วันพุธที่ 13 พ.ย. 67
หัวข้อ 1.2.01 ความตั้งใจ
เทปทบทวนการบรรยาย:
อ.วรรณา ลิ่มพานิชย์
https://youtu.be/DnHVtsJ8xVw</v>
      </c>
      <c r="G34" s="120" t="str">
        <f>HYPERLINK(B14)</f>
        <v>https://youtu.be/DnHVtsJ8xVw</v>
      </c>
      <c r="H34" s="121" t="e">
        <v>#NAME?</v>
      </c>
      <c r="I34" s="12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15.75" customHeight="1">
      <c r="A35" s="117">
        <f t="shared" si="5"/>
        <v>17</v>
      </c>
      <c r="B35" s="104" t="str">
        <f t="shared" si="6"/>
        <v>* เวลา 18:51 น. โพสต์</v>
      </c>
      <c r="C35" s="104"/>
      <c r="D35" s="104" t="str">
        <f>"* เวลา "&amp;TEXT(E35,"hh:mm")&amp;" น. โพสต์"</f>
        <v>* เวลา 18:51 น. โพสต์</v>
      </c>
      <c r="E35" s="122">
        <f>TIME(LEFT(TEXT(E30,"hh:mm"),2),RIGHT(TEXT(E30,"hh:mm"),2),0)+IF(INT(RIGHT(E34,2))&gt;0,TIME(0,LEFT(E34,2)+1,0),TIME(0,LEFT(E34,2),0))</f>
        <v>0.78541666666666665</v>
      </c>
      <c r="F35" s="112" t="str">
        <f t="shared" si="7"/>
        <v>* เวลา 18:51 น. โพสต์</v>
      </c>
      <c r="G35" s="102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84.75" customHeight="1">
      <c r="A36" s="117">
        <f t="shared" si="5"/>
        <v>18</v>
      </c>
      <c r="B36" s="104" t="str">
        <f t="shared" si="6"/>
        <v>ขอเชิญนักศึกษาทุกท่านปฏิบัติเดินจงกรม เป็นเวลา 30 นาที
https://youtu.be/jHQ_63bROqY</v>
      </c>
      <c r="C36" s="104"/>
      <c r="D36" s="104" t="s">
        <v>392</v>
      </c>
      <c r="E36" s="118" t="s">
        <v>393</v>
      </c>
      <c r="F36" s="119" t="str">
        <f t="shared" si="7"/>
        <v>ขอเชิญนักศึกษาทุกท่านปฏิบัติเดินจงกรม เป็นเวลา 30 นาที
https://youtu.be/jHQ_63bROqY</v>
      </c>
      <c r="G36" s="120" t="s">
        <v>66</v>
      </c>
      <c r="H36" s="121" t="e">
        <v>#NAME?</v>
      </c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15.75" customHeight="1">
      <c r="A37" s="117">
        <f t="shared" si="5"/>
        <v>19</v>
      </c>
      <c r="B37" s="104" t="str">
        <f t="shared" si="6"/>
        <v>* เวลา 19:23 น. โพสต์</v>
      </c>
      <c r="C37" s="104"/>
      <c r="D37" s="104" t="str">
        <f>"* เวลา "&amp;TEXT(E37,"hh:mm")&amp;" น. โพสต์"</f>
        <v>* เวลา 19:23 น. โพสต์</v>
      </c>
      <c r="E37" s="122">
        <f>TIME(LEFT(TEXT(E35,"hh:mm"),2),RIGHT(TEXT(E35,"hh:mm"),2),0)+IF(INT(RIGHT(E36,2))&gt;0,TIME(0,LEFT(E36,2)+1,0),TIME(0,LEFT(E36,2),0))</f>
        <v>0.80763888888888902</v>
      </c>
      <c r="F37" s="112" t="str">
        <f t="shared" si="7"/>
        <v>* เวลา 19:23 น. โพสต์</v>
      </c>
      <c r="G37" s="102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15.75" customHeight="1">
      <c r="A38" s="117">
        <f t="shared" si="5"/>
        <v>20</v>
      </c>
      <c r="B38" s="104" t="str">
        <f t="shared" si="6"/>
        <v>ขอเชิญนักศึกษาทุกท่านปฏิบัตินั่งสมาธิ  เป็นเวลา 30 นาที
https://youtu.be/hiZ16DCP1eI</v>
      </c>
      <c r="C38" s="104"/>
      <c r="D38" s="104" t="s">
        <v>394</v>
      </c>
      <c r="E38" s="118" t="s">
        <v>395</v>
      </c>
      <c r="F38" s="123" t="str">
        <f t="shared" si="7"/>
        <v>ขอเชิญนักศึกษาทุกท่านปฏิบัตินั่งสมาธิ  เป็นเวลา 30 นาที
https://youtu.be/hiZ16DCP1eI</v>
      </c>
      <c r="G38" s="120" t="s">
        <v>69</v>
      </c>
      <c r="H38" s="121" t="e">
        <v>#NAME?</v>
      </c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 ht="15.75" customHeight="1">
      <c r="A39" s="117">
        <f t="shared" si="5"/>
        <v>21</v>
      </c>
      <c r="B39" s="104" t="str">
        <f t="shared" si="6"/>
        <v>* เวลา 19:56 น. โพสต์</v>
      </c>
      <c r="C39" s="104"/>
      <c r="D39" s="104" t="str">
        <f>"* เวลา "&amp;TEXT(E39,"hh:mm")&amp;" น. โพสต์"</f>
        <v>* เวลา 19:56 น. โพสต์</v>
      </c>
      <c r="E39" s="122">
        <f>TIME(LEFT(TEXT(E37,"hh:mm"),2),RIGHT(TEXT(E37,"hh:mm"),2),0)+IF(INT(RIGHT(E38,2))&gt;0,TIME(0,LEFT(E38,2)+1,0),TIME(0,LEFT(E38,2),0))</f>
        <v>0.8305555555555556</v>
      </c>
      <c r="F39" s="112" t="str">
        <f t="shared" si="7"/>
        <v>* เวลา 19:56 น. โพสต์</v>
      </c>
      <c r="G39" s="102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15.75" customHeight="1">
      <c r="A40" s="117">
        <f t="shared" si="5"/>
        <v>22</v>
      </c>
      <c r="B40" s="104" t="str">
        <f t="shared" si="6"/>
        <v>ขอเชิญนักศึกษาทุกท่านร่วมบูชาพระรัตนตรัย โดยพร้อมเพรียงกัน
https://youtu.be/viTRlM3Xme4</v>
      </c>
      <c r="C40" s="104"/>
      <c r="D40" s="104" t="s">
        <v>396</v>
      </c>
      <c r="E40" s="118" t="s">
        <v>397</v>
      </c>
      <c r="F40" s="123" t="str">
        <f t="shared" si="7"/>
        <v>ขอเชิญนักศึกษาทุกท่านร่วมบูชาพระรัตนตรัย โดยพร้อมเพรียงกัน
https://youtu.be/viTRlM3Xme4</v>
      </c>
      <c r="G40" s="120" t="s">
        <v>72</v>
      </c>
      <c r="H40" s="121" t="e">
        <v>#NAME?</v>
      </c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15.75" customHeight="1">
      <c r="A41" s="117">
        <f t="shared" si="5"/>
        <v>23</v>
      </c>
      <c r="B41" s="104" t="str">
        <f t="shared" si="6"/>
        <v>* เวลา 19:58 น. โพสต์</v>
      </c>
      <c r="C41" s="104"/>
      <c r="D41" s="104" t="str">
        <f>"* เวลา "&amp;TEXT(E41,"hh:mm")&amp;" น. โพสต์"</f>
        <v>* เวลา 19:58 น. โพสต์</v>
      </c>
      <c r="E41" s="122">
        <f>TIME(LEFT(TEXT(E39,"hh:mm"),2),RIGHT(TEXT(E39,"hh:mm"),2),0)+IF(INT(RIGHT(E40,2))&gt;0,TIME(0,LEFT(E40,2)+1,0),TIME(0,LEFT(E40,2),0))</f>
        <v>0.83194444444444449</v>
      </c>
      <c r="F41" s="112" t="str">
        <f t="shared" si="7"/>
        <v>* เวลา 19:58 น. โพสต์</v>
      </c>
      <c r="G41" s="102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48.5" customHeight="1">
      <c r="A42" s="117">
        <f t="shared" si="5"/>
        <v>24</v>
      </c>
      <c r="B42" s="104" t="s">
        <v>398</v>
      </c>
      <c r="C42" s="104" t="s">
        <v>378</v>
      </c>
      <c r="D42" s="104" t="str">
        <f>TRIM($B$10)&amp;"-Slide3.JPG"</f>
        <v>1.2.01-Slide3.JPG</v>
      </c>
      <c r="E42" s="124" t="s">
        <v>399</v>
      </c>
      <c r="F42" s="123" t="e">
        <v>#NAME?</v>
      </c>
      <c r="G42" s="120" t="str">
        <f>HYPERLINK(VLOOKUP(D42,linkรูปหัวข้อเรียน!E:G,3,FALSE))</f>
        <v>https://drive.google.com/file/d/1evHCxONLKQw6aLhkPB0-DivKVilowsSi/view?usp=drivesdk</v>
      </c>
      <c r="H42" s="101"/>
      <c r="I42" s="12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5.75" customHeight="1">
      <c r="A43" s="117">
        <f t="shared" si="5"/>
        <v>25</v>
      </c>
      <c r="B43" s="104" t="str">
        <f t="shared" ref="B43:B45" si="8">D43</f>
        <v>* เวลา 19:58 น. โพสต์</v>
      </c>
      <c r="C43" s="104"/>
      <c r="D43" s="104" t="str">
        <f>"* เวลา "&amp;TEXT(E43,"hh:mm")&amp;" น. โพสต์"</f>
        <v>* เวลา 19:58 น. โพสต์</v>
      </c>
      <c r="E43" s="122">
        <f>TIME(LEFT(TEXT(E41,"hh:mm"),2),RIGHT(TEXT(E41,"hh:mm"),2),0)+IF(INT(RIGHT(E42,2))&gt;0,TIME(0,LEFT(E42,2)+1,0),TIME(0,LEFT(E42,2),0))</f>
        <v>0.83194444444444438</v>
      </c>
      <c r="F43" s="112" t="str">
        <f t="shared" ref="F43:F45" si="9">D43</f>
        <v>* เวลา 19:58 น. โพสต์</v>
      </c>
      <c r="G43" s="120"/>
      <c r="H43" s="101"/>
      <c r="I43" s="12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5.75" customHeight="1">
      <c r="A44" s="117">
        <f>A42+1</f>
        <v>25</v>
      </c>
      <c r="B44" s="104" t="str">
        <f t="shared" si="8"/>
        <v>ส่งลิงก์ Google form บันทึกผลการเรียน/ การบ้าน/การเรียนเสริม ของสาขา</v>
      </c>
      <c r="C44" s="104"/>
      <c r="D44" s="104" t="s">
        <v>400</v>
      </c>
      <c r="E44" s="118" t="s">
        <v>401</v>
      </c>
      <c r="F44" s="123" t="str">
        <f t="shared" si="9"/>
        <v>ส่งลิงก์ Google form บันทึกผลการเรียน/ การบ้าน/การเรียนเสริม ของสาขา</v>
      </c>
      <c r="G44" s="123" t="str">
        <f>"Google form บันทึกผลการเรียน/ การบ้าน/การเรียนเสริม สาขา"&amp;B3 &amp; " " &amp;B4 &amp;CHAR(10) &amp;CHAR(10) &amp;B5</f>
        <v>Google form บันทึกผลการเรียน/ การบ้าน/การเรียนเสริม สาขา8 อาคารไอทาวเวอร์
https://forms.gle/VDZgNpakb9Pxg2n</v>
      </c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5.75" customHeight="1">
      <c r="A45" s="117">
        <f>A44+1</f>
        <v>26</v>
      </c>
      <c r="B45" s="104" t="str">
        <f t="shared" si="8"/>
        <v>-สิ้นสุดการเตรียมข้อมูล หัวข้อ 1.2.01 ความตั้งใจ
วิทันตสาสมาธิออนไลน์
วันพุธที่ 13 พ.ย. 67 โดยสาขา 8</v>
      </c>
      <c r="C45" s="104"/>
      <c r="D45" s="104" t="str">
        <f>"-สิ้นสุดการเตรียมข้อมูล หัวข้อ "&amp; TRIM(B9) &amp;CHAR(10)&amp;"วิทันตสาสมาธิออนไลน์" &amp;CHAR(10)&amp;B8 &amp; " โดยสาขา "&amp;B3</f>
        <v>-สิ้นสุดการเตรียมข้อมูล หัวข้อ 1.2.01 ความตั้งใจ
วิทันตสาสมาธิออนไลน์
วันพุธที่ 13 พ.ย. 67 โดยสาขา 8</v>
      </c>
      <c r="E45" s="104"/>
      <c r="F45" s="112" t="str">
        <f t="shared" si="9"/>
        <v>-สิ้นสุดการเตรียมข้อมูล หัวข้อ 1.2.01 ความตั้งใจ
วิทันตสาสมาธิออนไลน์
วันพุธที่ 13 พ.ย. 67 โดยสาขา 8</v>
      </c>
      <c r="G45" s="102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5.75" customHeight="1">
      <c r="A46" s="101"/>
      <c r="B46" s="100"/>
      <c r="C46" s="100"/>
      <c r="D46" s="100"/>
      <c r="E46" s="100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5.75" customHeight="1">
      <c r="A47" s="101"/>
      <c r="B47" s="100"/>
      <c r="C47" s="100"/>
      <c r="D47" s="100"/>
      <c r="E47" s="100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5.75" customHeight="1">
      <c r="A48" s="101"/>
      <c r="B48" s="100"/>
      <c r="C48" s="100"/>
      <c r="D48" s="100"/>
      <c r="E48" s="100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5.75" customHeight="1">
      <c r="A49" s="101"/>
      <c r="B49" s="100"/>
      <c r="C49" s="100"/>
      <c r="D49" s="100"/>
      <c r="E49" s="100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5.75" customHeight="1">
      <c r="A50" s="101"/>
      <c r="B50" s="100"/>
      <c r="C50" s="100"/>
      <c r="D50" s="100"/>
      <c r="E50" s="100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5.75" customHeight="1">
      <c r="A51" s="101"/>
      <c r="B51" s="100"/>
      <c r="C51" s="100"/>
      <c r="D51" s="100"/>
      <c r="E51" s="100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5.75" customHeight="1">
      <c r="A52" s="101"/>
      <c r="B52" s="100"/>
      <c r="C52" s="100"/>
      <c r="D52" s="100"/>
      <c r="E52" s="100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5.75" customHeight="1">
      <c r="A53" s="101"/>
      <c r="B53" s="100"/>
      <c r="C53" s="100"/>
      <c r="D53" s="100"/>
      <c r="E53" s="100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5.75" customHeight="1">
      <c r="A54" s="101"/>
      <c r="B54" s="100"/>
      <c r="C54" s="100"/>
      <c r="D54" s="100"/>
      <c r="E54" s="100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5.75" customHeight="1">
      <c r="A55" s="101"/>
      <c r="B55" s="100"/>
      <c r="C55" s="100"/>
      <c r="D55" s="100"/>
      <c r="E55" s="100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5.75" customHeight="1">
      <c r="A56" s="101"/>
      <c r="B56" s="100"/>
      <c r="C56" s="100"/>
      <c r="D56" s="100"/>
      <c r="E56" s="100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5.75" customHeight="1">
      <c r="A57" s="101"/>
      <c r="B57" s="100"/>
      <c r="C57" s="100"/>
      <c r="D57" s="100"/>
      <c r="E57" s="100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5.75" customHeight="1">
      <c r="A58" s="101"/>
      <c r="B58" s="100"/>
      <c r="C58" s="100"/>
      <c r="D58" s="100"/>
      <c r="E58" s="100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5.75" customHeight="1">
      <c r="A59" s="101"/>
      <c r="B59" s="100"/>
      <c r="C59" s="100"/>
      <c r="D59" s="100"/>
      <c r="E59" s="100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5.75" customHeight="1">
      <c r="A60" s="101"/>
      <c r="B60" s="100"/>
      <c r="C60" s="100"/>
      <c r="D60" s="100"/>
      <c r="E60" s="100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5.75" customHeight="1">
      <c r="A61" s="101"/>
      <c r="B61" s="100"/>
      <c r="C61" s="100"/>
      <c r="D61" s="100"/>
      <c r="E61" s="100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.75" customHeight="1">
      <c r="A62" s="101"/>
      <c r="B62" s="100"/>
      <c r="C62" s="100"/>
      <c r="D62" s="100"/>
      <c r="E62" s="100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5.75" customHeight="1">
      <c r="A63" s="101"/>
      <c r="B63" s="100"/>
      <c r="C63" s="100"/>
      <c r="D63" s="100"/>
      <c r="E63" s="100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5.75" customHeight="1">
      <c r="A64" s="101"/>
      <c r="B64" s="100"/>
      <c r="C64" s="100"/>
      <c r="D64" s="100"/>
      <c r="E64" s="100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5.75" customHeight="1">
      <c r="A65" s="101"/>
      <c r="B65" s="100"/>
      <c r="C65" s="100"/>
      <c r="D65" s="100"/>
      <c r="E65" s="100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15.75" customHeight="1">
      <c r="A66" s="101"/>
      <c r="B66" s="100"/>
      <c r="C66" s="100"/>
      <c r="D66" s="100"/>
      <c r="E66" s="100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5.75" customHeight="1">
      <c r="A67" s="101"/>
      <c r="B67" s="100"/>
      <c r="C67" s="100"/>
      <c r="D67" s="100"/>
      <c r="E67" s="100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5.75" customHeight="1">
      <c r="A68" s="101"/>
      <c r="B68" s="100"/>
      <c r="C68" s="100"/>
      <c r="D68" s="100"/>
      <c r="E68" s="100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5.75" customHeight="1">
      <c r="A69" s="101"/>
      <c r="B69" s="100"/>
      <c r="C69" s="100"/>
      <c r="D69" s="100"/>
      <c r="E69" s="100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5.75" customHeight="1">
      <c r="A70" s="101"/>
      <c r="B70" s="100"/>
      <c r="C70" s="100"/>
      <c r="D70" s="100"/>
      <c r="E70" s="100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5.75" customHeight="1">
      <c r="A71" s="101"/>
      <c r="B71" s="100"/>
      <c r="C71" s="100"/>
      <c r="D71" s="100"/>
      <c r="E71" s="100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5.75" customHeight="1">
      <c r="A72" s="101"/>
      <c r="B72" s="100"/>
      <c r="C72" s="100"/>
      <c r="D72" s="100"/>
      <c r="E72" s="100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5.75" customHeight="1">
      <c r="A73" s="101"/>
      <c r="B73" s="100"/>
      <c r="C73" s="100"/>
      <c r="D73" s="100"/>
      <c r="E73" s="100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5.75" customHeight="1">
      <c r="A74" s="101"/>
      <c r="B74" s="100"/>
      <c r="C74" s="100"/>
      <c r="D74" s="100"/>
      <c r="E74" s="100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5.75" customHeight="1">
      <c r="A75" s="101"/>
      <c r="B75" s="100"/>
      <c r="C75" s="100"/>
      <c r="D75" s="100"/>
      <c r="E75" s="100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5.75" customHeight="1">
      <c r="A76" s="101"/>
      <c r="B76" s="100"/>
      <c r="C76" s="100"/>
      <c r="D76" s="100"/>
      <c r="E76" s="100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5.75" customHeight="1">
      <c r="A77" s="101"/>
      <c r="B77" s="100"/>
      <c r="C77" s="100"/>
      <c r="D77" s="100"/>
      <c r="E77" s="100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5.75" customHeight="1">
      <c r="A78" s="101"/>
      <c r="B78" s="100"/>
      <c r="C78" s="100"/>
      <c r="D78" s="100"/>
      <c r="E78" s="100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5.75" customHeight="1">
      <c r="A79" s="101"/>
      <c r="B79" s="100"/>
      <c r="C79" s="100"/>
      <c r="D79" s="100"/>
      <c r="E79" s="100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5.75" customHeight="1">
      <c r="A80" s="101"/>
      <c r="B80" s="100"/>
      <c r="C80" s="100"/>
      <c r="D80" s="100"/>
      <c r="E80" s="100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5.75" customHeight="1">
      <c r="A81" s="101"/>
      <c r="B81" s="100"/>
      <c r="C81" s="100"/>
      <c r="D81" s="100"/>
      <c r="E81" s="100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5.75" customHeight="1">
      <c r="A82" s="101"/>
      <c r="B82" s="100"/>
      <c r="C82" s="100"/>
      <c r="D82" s="100"/>
      <c r="E82" s="100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5.75" customHeight="1">
      <c r="A83" s="101"/>
      <c r="B83" s="100"/>
      <c r="C83" s="100"/>
      <c r="D83" s="100"/>
      <c r="E83" s="100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5.75" customHeight="1">
      <c r="A84" s="101"/>
      <c r="B84" s="100"/>
      <c r="C84" s="100"/>
      <c r="D84" s="100"/>
      <c r="E84" s="100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5.75" customHeight="1">
      <c r="A85" s="101"/>
      <c r="B85" s="100"/>
      <c r="C85" s="100"/>
      <c r="D85" s="100"/>
      <c r="E85" s="100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5.75" customHeight="1">
      <c r="A86" s="101"/>
      <c r="B86" s="100"/>
      <c r="C86" s="100"/>
      <c r="D86" s="100"/>
      <c r="E86" s="100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5.75" customHeight="1">
      <c r="A87" s="101"/>
      <c r="B87" s="100"/>
      <c r="C87" s="100"/>
      <c r="D87" s="100"/>
      <c r="E87" s="100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5.75" customHeight="1">
      <c r="A88" s="101"/>
      <c r="B88" s="100"/>
      <c r="C88" s="100"/>
      <c r="D88" s="100"/>
      <c r="E88" s="100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5.75" customHeight="1">
      <c r="A89" s="101"/>
      <c r="B89" s="100"/>
      <c r="C89" s="100"/>
      <c r="D89" s="100"/>
      <c r="E89" s="100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5.75" customHeight="1">
      <c r="A90" s="101"/>
      <c r="B90" s="100"/>
      <c r="C90" s="100"/>
      <c r="D90" s="100"/>
      <c r="E90" s="100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5.75" customHeight="1">
      <c r="A91" s="101"/>
      <c r="B91" s="100"/>
      <c r="C91" s="100"/>
      <c r="D91" s="100"/>
      <c r="E91" s="100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5.75" customHeight="1">
      <c r="A92" s="101"/>
      <c r="B92" s="100"/>
      <c r="C92" s="100"/>
      <c r="D92" s="100"/>
      <c r="E92" s="100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5.75" customHeight="1">
      <c r="A93" s="101"/>
      <c r="B93" s="100"/>
      <c r="C93" s="100"/>
      <c r="D93" s="100"/>
      <c r="E93" s="100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5.75" customHeight="1">
      <c r="A94" s="101"/>
      <c r="B94" s="100"/>
      <c r="C94" s="100"/>
      <c r="D94" s="100"/>
      <c r="E94" s="100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5.75" customHeight="1">
      <c r="A95" s="101"/>
      <c r="B95" s="100"/>
      <c r="C95" s="100"/>
      <c r="D95" s="100"/>
      <c r="E95" s="100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5.75" customHeight="1">
      <c r="A96" s="101"/>
      <c r="B96" s="100"/>
      <c r="C96" s="100"/>
      <c r="D96" s="100"/>
      <c r="E96" s="100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5.75" customHeight="1">
      <c r="A97" s="101"/>
      <c r="B97" s="100"/>
      <c r="C97" s="100"/>
      <c r="D97" s="100"/>
      <c r="E97" s="100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5.75" customHeight="1">
      <c r="A98" s="101"/>
      <c r="B98" s="100"/>
      <c r="C98" s="100"/>
      <c r="D98" s="100"/>
      <c r="E98" s="100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5.75" customHeight="1">
      <c r="A99" s="101"/>
      <c r="B99" s="100"/>
      <c r="C99" s="100"/>
      <c r="D99" s="100"/>
      <c r="E99" s="100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5.75" customHeight="1">
      <c r="A100" s="101"/>
      <c r="B100" s="100"/>
      <c r="C100" s="100"/>
      <c r="D100" s="100"/>
      <c r="E100" s="100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5.75" customHeight="1">
      <c r="A101" s="101"/>
      <c r="B101" s="100"/>
      <c r="C101" s="100"/>
      <c r="D101" s="100"/>
      <c r="E101" s="100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5.75" customHeight="1">
      <c r="A102" s="101"/>
      <c r="B102" s="100"/>
      <c r="C102" s="100"/>
      <c r="D102" s="100"/>
      <c r="E102" s="100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5.75" customHeight="1">
      <c r="A103" s="101"/>
      <c r="B103" s="100"/>
      <c r="C103" s="100"/>
      <c r="D103" s="100"/>
      <c r="E103" s="100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5.75" customHeight="1">
      <c r="A104" s="101"/>
      <c r="B104" s="100"/>
      <c r="C104" s="100"/>
      <c r="D104" s="100"/>
      <c r="E104" s="100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5.75" customHeight="1">
      <c r="A105" s="101"/>
      <c r="B105" s="100"/>
      <c r="C105" s="100"/>
      <c r="D105" s="100"/>
      <c r="E105" s="100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5.75" customHeight="1">
      <c r="A106" s="101"/>
      <c r="B106" s="100"/>
      <c r="C106" s="100"/>
      <c r="D106" s="100"/>
      <c r="E106" s="100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5.75" customHeight="1">
      <c r="A107" s="101"/>
      <c r="B107" s="100"/>
      <c r="C107" s="100"/>
      <c r="D107" s="100"/>
      <c r="E107" s="100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5.75" customHeight="1">
      <c r="A108" s="101"/>
      <c r="B108" s="100"/>
      <c r="C108" s="100"/>
      <c r="D108" s="100"/>
      <c r="E108" s="100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5.75" customHeight="1">
      <c r="A109" s="101"/>
      <c r="B109" s="100"/>
      <c r="C109" s="100"/>
      <c r="D109" s="100"/>
      <c r="E109" s="100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5.75" customHeight="1">
      <c r="A110" s="101"/>
      <c r="B110" s="100"/>
      <c r="C110" s="100"/>
      <c r="D110" s="100"/>
      <c r="E110" s="100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5.75" customHeight="1">
      <c r="A111" s="101"/>
      <c r="B111" s="100"/>
      <c r="C111" s="100"/>
      <c r="D111" s="100"/>
      <c r="E111" s="100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5.75" customHeight="1">
      <c r="A112" s="101"/>
      <c r="B112" s="100"/>
      <c r="C112" s="100"/>
      <c r="D112" s="100"/>
      <c r="E112" s="100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5.75" customHeight="1">
      <c r="A113" s="101"/>
      <c r="B113" s="100"/>
      <c r="C113" s="100"/>
      <c r="D113" s="100"/>
      <c r="E113" s="100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5.75" customHeight="1">
      <c r="A114" s="101"/>
      <c r="B114" s="100"/>
      <c r="C114" s="100"/>
      <c r="D114" s="100"/>
      <c r="E114" s="100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5.75" customHeight="1">
      <c r="A115" s="101"/>
      <c r="B115" s="100"/>
      <c r="C115" s="100"/>
      <c r="D115" s="100"/>
      <c r="E115" s="100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5.75" customHeight="1">
      <c r="A116" s="101"/>
      <c r="B116" s="100"/>
      <c r="C116" s="100"/>
      <c r="D116" s="100"/>
      <c r="E116" s="100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5.75" customHeight="1">
      <c r="A117" s="101"/>
      <c r="B117" s="100"/>
      <c r="C117" s="100"/>
      <c r="D117" s="100"/>
      <c r="E117" s="100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5.75" customHeight="1">
      <c r="A118" s="101"/>
      <c r="B118" s="100"/>
      <c r="C118" s="100"/>
      <c r="D118" s="100"/>
      <c r="E118" s="100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5.75" customHeight="1">
      <c r="A119" s="101"/>
      <c r="B119" s="100"/>
      <c r="C119" s="100"/>
      <c r="D119" s="100"/>
      <c r="E119" s="100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5.75" customHeight="1">
      <c r="A120" s="101"/>
      <c r="B120" s="100"/>
      <c r="C120" s="100"/>
      <c r="D120" s="100"/>
      <c r="E120" s="100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5.75" customHeight="1">
      <c r="A121" s="101"/>
      <c r="B121" s="100"/>
      <c r="C121" s="100"/>
      <c r="D121" s="100"/>
      <c r="E121" s="100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5.75" customHeight="1">
      <c r="A122" s="101"/>
      <c r="B122" s="100"/>
      <c r="C122" s="100"/>
      <c r="D122" s="100"/>
      <c r="E122" s="100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5.75" customHeight="1">
      <c r="A123" s="101"/>
      <c r="B123" s="100"/>
      <c r="C123" s="100"/>
      <c r="D123" s="100"/>
      <c r="E123" s="100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5.75" customHeight="1">
      <c r="A124" s="101"/>
      <c r="B124" s="100"/>
      <c r="C124" s="100"/>
      <c r="D124" s="100"/>
      <c r="E124" s="100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5.75" customHeight="1">
      <c r="A125" s="101"/>
      <c r="B125" s="100"/>
      <c r="C125" s="100"/>
      <c r="D125" s="100"/>
      <c r="E125" s="100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5.75" customHeight="1">
      <c r="A126" s="101"/>
      <c r="B126" s="100"/>
      <c r="C126" s="100"/>
      <c r="D126" s="100"/>
      <c r="E126" s="100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5.75" customHeight="1">
      <c r="A127" s="101"/>
      <c r="B127" s="100"/>
      <c r="C127" s="100"/>
      <c r="D127" s="100"/>
      <c r="E127" s="100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5.75" customHeight="1">
      <c r="A128" s="101"/>
      <c r="B128" s="100"/>
      <c r="C128" s="100"/>
      <c r="D128" s="100"/>
      <c r="E128" s="100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5.75" customHeight="1">
      <c r="A129" s="101"/>
      <c r="B129" s="100"/>
      <c r="C129" s="100"/>
      <c r="D129" s="100"/>
      <c r="E129" s="100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5.75" customHeight="1">
      <c r="A130" s="101"/>
      <c r="B130" s="100"/>
      <c r="C130" s="100"/>
      <c r="D130" s="100"/>
      <c r="E130" s="100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5.75" customHeight="1">
      <c r="A131" s="101"/>
      <c r="B131" s="100"/>
      <c r="C131" s="100"/>
      <c r="D131" s="100"/>
      <c r="E131" s="100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5.75" customHeight="1">
      <c r="A132" s="101"/>
      <c r="B132" s="100"/>
      <c r="C132" s="100"/>
      <c r="D132" s="100"/>
      <c r="E132" s="100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5.75" customHeight="1">
      <c r="A133" s="101"/>
      <c r="B133" s="100"/>
      <c r="C133" s="100"/>
      <c r="D133" s="100"/>
      <c r="E133" s="100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5.75" customHeight="1">
      <c r="A134" s="101"/>
      <c r="B134" s="100"/>
      <c r="C134" s="100"/>
      <c r="D134" s="100"/>
      <c r="E134" s="100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5.75" customHeight="1">
      <c r="A135" s="101"/>
      <c r="B135" s="100"/>
      <c r="C135" s="100"/>
      <c r="D135" s="100"/>
      <c r="E135" s="100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5.75" customHeight="1">
      <c r="A136" s="101"/>
      <c r="B136" s="100"/>
      <c r="C136" s="100"/>
      <c r="D136" s="100"/>
      <c r="E136" s="100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5.75" customHeight="1">
      <c r="A137" s="101"/>
      <c r="B137" s="100"/>
      <c r="C137" s="100"/>
      <c r="D137" s="100"/>
      <c r="E137" s="100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5.75" customHeight="1">
      <c r="A138" s="101"/>
      <c r="B138" s="100"/>
      <c r="C138" s="100"/>
      <c r="D138" s="100"/>
      <c r="E138" s="100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5.75" customHeight="1">
      <c r="A139" s="101"/>
      <c r="B139" s="100"/>
      <c r="C139" s="100"/>
      <c r="D139" s="100"/>
      <c r="E139" s="100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5.75" customHeight="1">
      <c r="A140" s="101"/>
      <c r="B140" s="100"/>
      <c r="C140" s="100"/>
      <c r="D140" s="100"/>
      <c r="E140" s="100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5.75" customHeight="1">
      <c r="A141" s="101"/>
      <c r="B141" s="100"/>
      <c r="C141" s="100"/>
      <c r="D141" s="100"/>
      <c r="E141" s="100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5.75" customHeight="1">
      <c r="A142" s="101"/>
      <c r="B142" s="100"/>
      <c r="C142" s="100"/>
      <c r="D142" s="100"/>
      <c r="E142" s="100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5.75" customHeight="1">
      <c r="A143" s="101"/>
      <c r="B143" s="100"/>
      <c r="C143" s="100"/>
      <c r="D143" s="100"/>
      <c r="E143" s="100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5.75" customHeight="1">
      <c r="A144" s="101"/>
      <c r="B144" s="100"/>
      <c r="C144" s="100"/>
      <c r="D144" s="100"/>
      <c r="E144" s="100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5.75" customHeight="1">
      <c r="A145" s="101"/>
      <c r="B145" s="100"/>
      <c r="C145" s="100"/>
      <c r="D145" s="100"/>
      <c r="E145" s="100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5.75" customHeight="1">
      <c r="A146" s="101"/>
      <c r="B146" s="100"/>
      <c r="C146" s="100"/>
      <c r="D146" s="100"/>
      <c r="E146" s="100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5.75" customHeight="1">
      <c r="A147" s="101"/>
      <c r="B147" s="100"/>
      <c r="C147" s="100"/>
      <c r="D147" s="100"/>
      <c r="E147" s="100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5.75" customHeight="1">
      <c r="A148" s="101"/>
      <c r="B148" s="100"/>
      <c r="C148" s="100"/>
      <c r="D148" s="100"/>
      <c r="E148" s="100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5.75" customHeight="1">
      <c r="A149" s="101"/>
      <c r="B149" s="100"/>
      <c r="C149" s="100"/>
      <c r="D149" s="100"/>
      <c r="E149" s="100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5.75" customHeight="1">
      <c r="A150" s="101"/>
      <c r="B150" s="100"/>
      <c r="C150" s="100"/>
      <c r="D150" s="100"/>
      <c r="E150" s="100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5.75" customHeight="1">
      <c r="A151" s="101"/>
      <c r="B151" s="100"/>
      <c r="C151" s="100"/>
      <c r="D151" s="100"/>
      <c r="E151" s="100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5.75" customHeight="1">
      <c r="A152" s="101"/>
      <c r="B152" s="100"/>
      <c r="C152" s="100"/>
      <c r="D152" s="100"/>
      <c r="E152" s="100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5.75" customHeight="1">
      <c r="A153" s="101"/>
      <c r="B153" s="100"/>
      <c r="C153" s="100"/>
      <c r="D153" s="100"/>
      <c r="E153" s="100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5.75" customHeight="1">
      <c r="A154" s="101"/>
      <c r="B154" s="100"/>
      <c r="C154" s="100"/>
      <c r="D154" s="100"/>
      <c r="E154" s="100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5.75" customHeight="1">
      <c r="A155" s="101"/>
      <c r="B155" s="100"/>
      <c r="C155" s="100"/>
      <c r="D155" s="100"/>
      <c r="E155" s="100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5.75" customHeight="1">
      <c r="A156" s="101"/>
      <c r="B156" s="100"/>
      <c r="C156" s="100"/>
      <c r="D156" s="100"/>
      <c r="E156" s="100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5.75" customHeight="1">
      <c r="A157" s="101"/>
      <c r="B157" s="100"/>
      <c r="C157" s="100"/>
      <c r="D157" s="100"/>
      <c r="E157" s="100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5.75" customHeight="1">
      <c r="A158" s="101"/>
      <c r="B158" s="100"/>
      <c r="C158" s="100"/>
      <c r="D158" s="100"/>
      <c r="E158" s="100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5.75" customHeight="1">
      <c r="A159" s="101"/>
      <c r="B159" s="100"/>
      <c r="C159" s="100"/>
      <c r="D159" s="100"/>
      <c r="E159" s="100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5.75" customHeight="1">
      <c r="A160" s="101"/>
      <c r="B160" s="100"/>
      <c r="C160" s="100"/>
      <c r="D160" s="100"/>
      <c r="E160" s="100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5.75" customHeight="1">
      <c r="A161" s="101"/>
      <c r="B161" s="100"/>
      <c r="C161" s="100"/>
      <c r="D161" s="100"/>
      <c r="E161" s="100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5.75" customHeight="1">
      <c r="A162" s="101"/>
      <c r="B162" s="100"/>
      <c r="C162" s="100"/>
      <c r="D162" s="100"/>
      <c r="E162" s="100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5.75" customHeight="1">
      <c r="A163" s="101"/>
      <c r="B163" s="100"/>
      <c r="C163" s="100"/>
      <c r="D163" s="100"/>
      <c r="E163" s="100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5.75" customHeight="1">
      <c r="A164" s="101"/>
      <c r="B164" s="100"/>
      <c r="C164" s="100"/>
      <c r="D164" s="100"/>
      <c r="E164" s="100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5.75" customHeight="1">
      <c r="A165" s="101"/>
      <c r="B165" s="100"/>
      <c r="C165" s="100"/>
      <c r="D165" s="100"/>
      <c r="E165" s="100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5.75" customHeight="1">
      <c r="A166" s="101"/>
      <c r="B166" s="100"/>
      <c r="C166" s="100"/>
      <c r="D166" s="100"/>
      <c r="E166" s="100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5.75" customHeight="1">
      <c r="A167" s="101"/>
      <c r="B167" s="100"/>
      <c r="C167" s="100"/>
      <c r="D167" s="100"/>
      <c r="E167" s="100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5.75" customHeight="1">
      <c r="A168" s="101"/>
      <c r="B168" s="100"/>
      <c r="C168" s="100"/>
      <c r="D168" s="100"/>
      <c r="E168" s="100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5.75" customHeight="1">
      <c r="A169" s="101"/>
      <c r="B169" s="100"/>
      <c r="C169" s="100"/>
      <c r="D169" s="100"/>
      <c r="E169" s="100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5.75" customHeight="1">
      <c r="A170" s="101"/>
      <c r="B170" s="100"/>
      <c r="C170" s="100"/>
      <c r="D170" s="100"/>
      <c r="E170" s="100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5.75" customHeight="1">
      <c r="A171" s="101"/>
      <c r="B171" s="100"/>
      <c r="C171" s="100"/>
      <c r="D171" s="100"/>
      <c r="E171" s="100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5.75" customHeight="1">
      <c r="A172" s="101"/>
      <c r="B172" s="100"/>
      <c r="C172" s="100"/>
      <c r="D172" s="100"/>
      <c r="E172" s="100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5.75" customHeight="1">
      <c r="A173" s="101"/>
      <c r="B173" s="100"/>
      <c r="C173" s="100"/>
      <c r="D173" s="100"/>
      <c r="E173" s="100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5.75" customHeight="1">
      <c r="A174" s="101"/>
      <c r="B174" s="100"/>
      <c r="C174" s="100"/>
      <c r="D174" s="100"/>
      <c r="E174" s="100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5.75" customHeight="1">
      <c r="A175" s="101"/>
      <c r="B175" s="100"/>
      <c r="C175" s="100"/>
      <c r="D175" s="100"/>
      <c r="E175" s="100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5.75" customHeight="1">
      <c r="A176" s="101"/>
      <c r="B176" s="100"/>
      <c r="C176" s="100"/>
      <c r="D176" s="100"/>
      <c r="E176" s="100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5.75" customHeight="1">
      <c r="A177" s="101"/>
      <c r="B177" s="100"/>
      <c r="C177" s="100"/>
      <c r="D177" s="100"/>
      <c r="E177" s="100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5.75" customHeight="1">
      <c r="A178" s="101"/>
      <c r="B178" s="100"/>
      <c r="C178" s="100"/>
      <c r="D178" s="100"/>
      <c r="E178" s="100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5.75" customHeight="1">
      <c r="A179" s="101"/>
      <c r="B179" s="100"/>
      <c r="C179" s="100"/>
      <c r="D179" s="100"/>
      <c r="E179" s="100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5.75" customHeight="1">
      <c r="A180" s="101"/>
      <c r="B180" s="100"/>
      <c r="C180" s="100"/>
      <c r="D180" s="100"/>
      <c r="E180" s="100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5.75" customHeight="1">
      <c r="A181" s="101"/>
      <c r="B181" s="100"/>
      <c r="C181" s="100"/>
      <c r="D181" s="100"/>
      <c r="E181" s="100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5.75" customHeight="1">
      <c r="A182" s="101"/>
      <c r="B182" s="100"/>
      <c r="C182" s="100"/>
      <c r="D182" s="100"/>
      <c r="E182" s="100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5.75" customHeight="1">
      <c r="A183" s="101"/>
      <c r="B183" s="100"/>
      <c r="C183" s="100"/>
      <c r="D183" s="100"/>
      <c r="E183" s="100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5.75" customHeight="1">
      <c r="A184" s="101"/>
      <c r="B184" s="100"/>
      <c r="C184" s="100"/>
      <c r="D184" s="100"/>
      <c r="E184" s="100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5.75" customHeight="1">
      <c r="A185" s="101"/>
      <c r="B185" s="100"/>
      <c r="C185" s="100"/>
      <c r="D185" s="100"/>
      <c r="E185" s="100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5.75" customHeight="1">
      <c r="A186" s="101"/>
      <c r="B186" s="100"/>
      <c r="C186" s="100"/>
      <c r="D186" s="100"/>
      <c r="E186" s="100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5.75" customHeight="1">
      <c r="A187" s="101"/>
      <c r="B187" s="100"/>
      <c r="C187" s="100"/>
      <c r="D187" s="100"/>
      <c r="E187" s="100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5.75" customHeight="1">
      <c r="A188" s="101"/>
      <c r="B188" s="100"/>
      <c r="C188" s="100"/>
      <c r="D188" s="100"/>
      <c r="E188" s="100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5.75" customHeight="1">
      <c r="A189" s="101"/>
      <c r="B189" s="100"/>
      <c r="C189" s="100"/>
      <c r="D189" s="100"/>
      <c r="E189" s="100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5.75" customHeight="1">
      <c r="A190" s="101"/>
      <c r="B190" s="100"/>
      <c r="C190" s="100"/>
      <c r="D190" s="100"/>
      <c r="E190" s="100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5.75" customHeight="1">
      <c r="A191" s="101"/>
      <c r="B191" s="100"/>
      <c r="C191" s="100"/>
      <c r="D191" s="100"/>
      <c r="E191" s="100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5.75" customHeight="1">
      <c r="A192" s="101"/>
      <c r="B192" s="100"/>
      <c r="C192" s="100"/>
      <c r="D192" s="100"/>
      <c r="E192" s="100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5.75" customHeight="1">
      <c r="A193" s="101"/>
      <c r="B193" s="100"/>
      <c r="C193" s="100"/>
      <c r="D193" s="100"/>
      <c r="E193" s="100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5.75" customHeight="1">
      <c r="A194" s="101"/>
      <c r="B194" s="100"/>
      <c r="C194" s="100"/>
      <c r="D194" s="100"/>
      <c r="E194" s="100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5.75" customHeight="1">
      <c r="A195" s="101"/>
      <c r="B195" s="100"/>
      <c r="C195" s="100"/>
      <c r="D195" s="100"/>
      <c r="E195" s="100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5.75" customHeight="1">
      <c r="A196" s="101"/>
      <c r="B196" s="100"/>
      <c r="C196" s="100"/>
      <c r="D196" s="100"/>
      <c r="E196" s="100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5.75" customHeight="1">
      <c r="A197" s="101"/>
      <c r="B197" s="100"/>
      <c r="C197" s="100"/>
      <c r="D197" s="100"/>
      <c r="E197" s="100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5.75" customHeight="1">
      <c r="A198" s="101"/>
      <c r="B198" s="100"/>
      <c r="C198" s="100"/>
      <c r="D198" s="100"/>
      <c r="E198" s="100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5.75" customHeight="1">
      <c r="A199" s="101"/>
      <c r="B199" s="100"/>
      <c r="C199" s="100"/>
      <c r="D199" s="100"/>
      <c r="E199" s="100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5.75" customHeight="1">
      <c r="A200" s="101"/>
      <c r="B200" s="100"/>
      <c r="C200" s="100"/>
      <c r="D200" s="100"/>
      <c r="E200" s="100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5.75" customHeight="1">
      <c r="A201" s="101"/>
      <c r="B201" s="100"/>
      <c r="C201" s="100"/>
      <c r="D201" s="100"/>
      <c r="E201" s="100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5.75" customHeight="1">
      <c r="A202" s="101"/>
      <c r="B202" s="100"/>
      <c r="C202" s="100"/>
      <c r="D202" s="100"/>
      <c r="E202" s="100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5.75" customHeight="1">
      <c r="A203" s="101"/>
      <c r="B203" s="100"/>
      <c r="C203" s="100"/>
      <c r="D203" s="100"/>
      <c r="E203" s="100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5.75" customHeight="1">
      <c r="A204" s="101"/>
      <c r="B204" s="100"/>
      <c r="C204" s="100"/>
      <c r="D204" s="100"/>
      <c r="E204" s="100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5.75" customHeight="1">
      <c r="A205" s="101"/>
      <c r="B205" s="100"/>
      <c r="C205" s="100"/>
      <c r="D205" s="100"/>
      <c r="E205" s="100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5.75" customHeight="1">
      <c r="A206" s="101"/>
      <c r="B206" s="100"/>
      <c r="C206" s="100"/>
      <c r="D206" s="100"/>
      <c r="E206" s="100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5.75" customHeight="1">
      <c r="A207" s="101"/>
      <c r="B207" s="100"/>
      <c r="C207" s="100"/>
      <c r="D207" s="100"/>
      <c r="E207" s="100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5.75" customHeight="1">
      <c r="A208" s="101"/>
      <c r="B208" s="100"/>
      <c r="C208" s="100"/>
      <c r="D208" s="100"/>
      <c r="E208" s="100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5.75" customHeight="1">
      <c r="A209" s="101"/>
      <c r="B209" s="100"/>
      <c r="C209" s="100"/>
      <c r="D209" s="100"/>
      <c r="E209" s="100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5.75" customHeight="1">
      <c r="A210" s="101"/>
      <c r="B210" s="100"/>
      <c r="C210" s="100"/>
      <c r="D210" s="100"/>
      <c r="E210" s="100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5.75" customHeight="1">
      <c r="A211" s="101"/>
      <c r="B211" s="100"/>
      <c r="C211" s="100"/>
      <c r="D211" s="100"/>
      <c r="E211" s="100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5.75" customHeight="1">
      <c r="A212" s="101"/>
      <c r="B212" s="100"/>
      <c r="C212" s="100"/>
      <c r="D212" s="100"/>
      <c r="E212" s="100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5.75" customHeight="1">
      <c r="A213" s="101"/>
      <c r="B213" s="100"/>
      <c r="C213" s="100"/>
      <c r="D213" s="100"/>
      <c r="E213" s="100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5.75" customHeight="1">
      <c r="A214" s="101"/>
      <c r="B214" s="100"/>
      <c r="C214" s="100"/>
      <c r="D214" s="100"/>
      <c r="E214" s="100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5.75" customHeight="1">
      <c r="A215" s="101"/>
      <c r="B215" s="100"/>
      <c r="C215" s="100"/>
      <c r="D215" s="100"/>
      <c r="E215" s="100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5.75" customHeight="1">
      <c r="A216" s="101"/>
      <c r="B216" s="100"/>
      <c r="C216" s="100"/>
      <c r="D216" s="100"/>
      <c r="E216" s="100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5.75" customHeight="1">
      <c r="A217" s="101"/>
      <c r="B217" s="100"/>
      <c r="C217" s="100"/>
      <c r="D217" s="100"/>
      <c r="E217" s="100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5.75" customHeight="1">
      <c r="A218" s="101"/>
      <c r="B218" s="100"/>
      <c r="C218" s="100"/>
      <c r="D218" s="100"/>
      <c r="E218" s="100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5.75" customHeight="1">
      <c r="A219" s="101"/>
      <c r="B219" s="100"/>
      <c r="C219" s="100"/>
      <c r="D219" s="100"/>
      <c r="E219" s="100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5.75" customHeight="1">
      <c r="A220" s="101"/>
      <c r="B220" s="100"/>
      <c r="C220" s="100"/>
      <c r="D220" s="100"/>
      <c r="E220" s="100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5.75" customHeight="1">
      <c r="A221" s="101"/>
      <c r="B221" s="100"/>
      <c r="C221" s="100"/>
      <c r="D221" s="100"/>
      <c r="E221" s="100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5.75" customHeight="1">
      <c r="A222" s="101"/>
      <c r="B222" s="100"/>
      <c r="C222" s="100"/>
      <c r="D222" s="100"/>
      <c r="E222" s="100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5.75" customHeight="1">
      <c r="A223" s="101"/>
      <c r="B223" s="100"/>
      <c r="C223" s="100"/>
      <c r="D223" s="100"/>
      <c r="E223" s="100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5.75" customHeight="1">
      <c r="A224" s="101"/>
      <c r="B224" s="100"/>
      <c r="C224" s="100"/>
      <c r="D224" s="100"/>
      <c r="E224" s="100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5.75" customHeight="1">
      <c r="A225" s="101"/>
      <c r="B225" s="100"/>
      <c r="C225" s="100"/>
      <c r="D225" s="100"/>
      <c r="E225" s="100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5.75" customHeight="1">
      <c r="A226" s="101"/>
      <c r="B226" s="100"/>
      <c r="C226" s="100"/>
      <c r="D226" s="100"/>
      <c r="E226" s="100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5.75" customHeight="1">
      <c r="A227" s="101"/>
      <c r="B227" s="100"/>
      <c r="C227" s="100"/>
      <c r="D227" s="100"/>
      <c r="E227" s="100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5.75" customHeight="1">
      <c r="A228" s="101"/>
      <c r="B228" s="100"/>
      <c r="C228" s="100"/>
      <c r="D228" s="100"/>
      <c r="E228" s="100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5.75" customHeight="1">
      <c r="A229" s="101"/>
      <c r="B229" s="100"/>
      <c r="C229" s="100"/>
      <c r="D229" s="100"/>
      <c r="E229" s="100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5.75" customHeight="1">
      <c r="A230" s="101"/>
      <c r="B230" s="100"/>
      <c r="C230" s="100"/>
      <c r="D230" s="100"/>
      <c r="E230" s="100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5.75" customHeight="1">
      <c r="A231" s="101"/>
      <c r="B231" s="100"/>
      <c r="C231" s="100"/>
      <c r="D231" s="100"/>
      <c r="E231" s="100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5.75" customHeight="1">
      <c r="A232" s="101"/>
      <c r="B232" s="100"/>
      <c r="C232" s="100"/>
      <c r="D232" s="100"/>
      <c r="E232" s="100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5.75" customHeight="1">
      <c r="A233" s="101"/>
      <c r="B233" s="100"/>
      <c r="C233" s="100"/>
      <c r="D233" s="100"/>
      <c r="E233" s="100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5.75" customHeight="1">
      <c r="A234" s="101"/>
      <c r="B234" s="100"/>
      <c r="C234" s="100"/>
      <c r="D234" s="100"/>
      <c r="E234" s="100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5.75" customHeight="1">
      <c r="A235" s="101"/>
      <c r="B235" s="100"/>
      <c r="C235" s="100"/>
      <c r="D235" s="100"/>
      <c r="E235" s="100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5.75" customHeight="1">
      <c r="A236" s="101"/>
      <c r="B236" s="100"/>
      <c r="C236" s="100"/>
      <c r="D236" s="100"/>
      <c r="E236" s="100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5.75" customHeight="1">
      <c r="A237" s="101"/>
      <c r="B237" s="100"/>
      <c r="C237" s="100"/>
      <c r="D237" s="100"/>
      <c r="E237" s="100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5.75" customHeight="1">
      <c r="A238" s="101"/>
      <c r="B238" s="100"/>
      <c r="C238" s="100"/>
      <c r="D238" s="100"/>
      <c r="E238" s="100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5.75" customHeight="1">
      <c r="A239" s="101"/>
      <c r="B239" s="100"/>
      <c r="C239" s="100"/>
      <c r="D239" s="100"/>
      <c r="E239" s="100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5.75" customHeight="1">
      <c r="A240" s="101"/>
      <c r="B240" s="100"/>
      <c r="C240" s="100"/>
      <c r="D240" s="100"/>
      <c r="E240" s="100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5.75" customHeight="1">
      <c r="A241" s="101"/>
      <c r="B241" s="100"/>
      <c r="C241" s="100"/>
      <c r="D241" s="100"/>
      <c r="E241" s="100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5.75" customHeight="1">
      <c r="A242" s="101"/>
      <c r="B242" s="100"/>
      <c r="C242" s="100"/>
      <c r="D242" s="100"/>
      <c r="E242" s="100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5.75" customHeight="1">
      <c r="A243" s="101"/>
      <c r="B243" s="100"/>
      <c r="C243" s="100"/>
      <c r="D243" s="100"/>
      <c r="E243" s="100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5.75" customHeight="1">
      <c r="A244" s="101"/>
      <c r="B244" s="100"/>
      <c r="C244" s="100"/>
      <c r="D244" s="100"/>
      <c r="E244" s="100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5.75" customHeight="1">
      <c r="A245" s="101"/>
      <c r="B245" s="100"/>
      <c r="C245" s="100"/>
      <c r="D245" s="100"/>
      <c r="E245" s="100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5.75" customHeight="1">
      <c r="A246" s="101"/>
      <c r="B246" s="100"/>
      <c r="C246" s="100"/>
      <c r="D246" s="100"/>
      <c r="E246" s="100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5.75" customHeight="1">
      <c r="A247" s="101"/>
      <c r="B247" s="100"/>
      <c r="C247" s="100"/>
      <c r="D247" s="100"/>
      <c r="E247" s="100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5.75" customHeight="1">
      <c r="A248" s="101"/>
      <c r="B248" s="100"/>
      <c r="C248" s="100"/>
      <c r="D248" s="100"/>
      <c r="E248" s="100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5.75" customHeight="1">
      <c r="A249" s="101"/>
      <c r="B249" s="100"/>
      <c r="C249" s="100"/>
      <c r="D249" s="100"/>
      <c r="E249" s="100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5.75" customHeight="1">
      <c r="A250" s="101"/>
      <c r="B250" s="100"/>
      <c r="C250" s="100"/>
      <c r="D250" s="100"/>
      <c r="E250" s="100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5.75" customHeight="1">
      <c r="A251" s="101"/>
      <c r="B251" s="100"/>
      <c r="C251" s="100"/>
      <c r="D251" s="100"/>
      <c r="E251" s="100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5.75" customHeight="1">
      <c r="A252" s="101"/>
      <c r="B252" s="100"/>
      <c r="C252" s="100"/>
      <c r="D252" s="100"/>
      <c r="E252" s="100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5.75" customHeight="1">
      <c r="A253" s="101"/>
      <c r="B253" s="100"/>
      <c r="C253" s="100"/>
      <c r="D253" s="100"/>
      <c r="E253" s="100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5.75" customHeight="1">
      <c r="A254" s="101"/>
      <c r="B254" s="100"/>
      <c r="C254" s="100"/>
      <c r="D254" s="100"/>
      <c r="E254" s="100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5.75" customHeight="1">
      <c r="A255" s="101"/>
      <c r="B255" s="100"/>
      <c r="C255" s="100"/>
      <c r="D255" s="100"/>
      <c r="E255" s="100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5.75" customHeight="1">
      <c r="A256" s="101"/>
      <c r="B256" s="100"/>
      <c r="C256" s="100"/>
      <c r="D256" s="100"/>
      <c r="E256" s="100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5.75" customHeight="1">
      <c r="A257" s="101"/>
      <c r="B257" s="100"/>
      <c r="C257" s="100"/>
      <c r="D257" s="100"/>
      <c r="E257" s="100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5.75" customHeight="1">
      <c r="A258" s="101"/>
      <c r="B258" s="100"/>
      <c r="C258" s="100"/>
      <c r="D258" s="100"/>
      <c r="E258" s="100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5.75" customHeight="1">
      <c r="A259" s="101"/>
      <c r="B259" s="100"/>
      <c r="C259" s="100"/>
      <c r="D259" s="100"/>
      <c r="E259" s="100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5.75" customHeight="1">
      <c r="A260" s="101"/>
      <c r="B260" s="100"/>
      <c r="C260" s="100"/>
      <c r="D260" s="100"/>
      <c r="E260" s="100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5.75" customHeight="1">
      <c r="A261" s="101"/>
      <c r="B261" s="100"/>
      <c r="C261" s="100"/>
      <c r="D261" s="100"/>
      <c r="E261" s="100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5.75" customHeight="1">
      <c r="A262" s="101"/>
      <c r="B262" s="100"/>
      <c r="C262" s="100"/>
      <c r="D262" s="100"/>
      <c r="E262" s="100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5.75" customHeight="1">
      <c r="A263" s="101"/>
      <c r="B263" s="100"/>
      <c r="C263" s="100"/>
      <c r="D263" s="100"/>
      <c r="E263" s="100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5.75" customHeight="1">
      <c r="A264" s="101"/>
      <c r="B264" s="100"/>
      <c r="C264" s="100"/>
      <c r="D264" s="100"/>
      <c r="E264" s="100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5.75" customHeight="1">
      <c r="A265" s="101"/>
      <c r="B265" s="100"/>
      <c r="C265" s="100"/>
      <c r="D265" s="100"/>
      <c r="E265" s="100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5.75" customHeight="1">
      <c r="A266" s="101"/>
      <c r="B266" s="100"/>
      <c r="C266" s="100"/>
      <c r="D266" s="100"/>
      <c r="E266" s="100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5.75" customHeight="1">
      <c r="A267" s="101"/>
      <c r="B267" s="100"/>
      <c r="C267" s="100"/>
      <c r="D267" s="100"/>
      <c r="E267" s="100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5.75" customHeight="1">
      <c r="A268" s="101"/>
      <c r="B268" s="100"/>
      <c r="C268" s="100"/>
      <c r="D268" s="100"/>
      <c r="E268" s="100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5.75" customHeight="1">
      <c r="A269" s="101"/>
      <c r="B269" s="100"/>
      <c r="C269" s="100"/>
      <c r="D269" s="100"/>
      <c r="E269" s="100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5.75" customHeight="1">
      <c r="A270" s="101"/>
      <c r="B270" s="100"/>
      <c r="C270" s="100"/>
      <c r="D270" s="100"/>
      <c r="E270" s="100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5.75" customHeight="1">
      <c r="A271" s="101"/>
      <c r="B271" s="100"/>
      <c r="C271" s="100"/>
      <c r="D271" s="100"/>
      <c r="E271" s="100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5.75" customHeight="1">
      <c r="A272" s="101"/>
      <c r="B272" s="100"/>
      <c r="C272" s="100"/>
      <c r="D272" s="100"/>
      <c r="E272" s="100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5.75" customHeight="1">
      <c r="A273" s="101"/>
      <c r="B273" s="100"/>
      <c r="C273" s="100"/>
      <c r="D273" s="100"/>
      <c r="E273" s="100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5.75" customHeight="1">
      <c r="A274" s="101"/>
      <c r="B274" s="100"/>
      <c r="C274" s="100"/>
      <c r="D274" s="100"/>
      <c r="E274" s="100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5.75" customHeight="1">
      <c r="A275" s="101"/>
      <c r="B275" s="100"/>
      <c r="C275" s="100"/>
      <c r="D275" s="100"/>
      <c r="E275" s="100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5.75" customHeight="1">
      <c r="A276" s="101"/>
      <c r="B276" s="100"/>
      <c r="C276" s="100"/>
      <c r="D276" s="100"/>
      <c r="E276" s="100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5.75" customHeight="1">
      <c r="A277" s="101"/>
      <c r="B277" s="100"/>
      <c r="C277" s="100"/>
      <c r="D277" s="100"/>
      <c r="E277" s="100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5.75" customHeight="1">
      <c r="A278" s="101"/>
      <c r="B278" s="100"/>
      <c r="C278" s="100"/>
      <c r="D278" s="100"/>
      <c r="E278" s="100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5.75" customHeight="1">
      <c r="A279" s="101"/>
      <c r="B279" s="100"/>
      <c r="C279" s="100"/>
      <c r="D279" s="100"/>
      <c r="E279" s="100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5.75" customHeight="1">
      <c r="A280" s="101"/>
      <c r="B280" s="100"/>
      <c r="C280" s="100"/>
      <c r="D280" s="100"/>
      <c r="E280" s="100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5.75" customHeight="1">
      <c r="A281" s="101"/>
      <c r="B281" s="100"/>
      <c r="C281" s="100"/>
      <c r="D281" s="100"/>
      <c r="E281" s="100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5.75" customHeight="1">
      <c r="A282" s="101"/>
      <c r="B282" s="100"/>
      <c r="C282" s="100"/>
      <c r="D282" s="100"/>
      <c r="E282" s="100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5.75" customHeight="1">
      <c r="A283" s="101"/>
      <c r="B283" s="100"/>
      <c r="C283" s="100"/>
      <c r="D283" s="100"/>
      <c r="E283" s="100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5.75" customHeight="1">
      <c r="A284" s="101"/>
      <c r="B284" s="100"/>
      <c r="C284" s="100"/>
      <c r="D284" s="100"/>
      <c r="E284" s="100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5.75" customHeight="1">
      <c r="A285" s="101"/>
      <c r="B285" s="100"/>
      <c r="C285" s="100"/>
      <c r="D285" s="100"/>
      <c r="E285" s="100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5.75" customHeight="1">
      <c r="A286" s="101"/>
      <c r="B286" s="100"/>
      <c r="C286" s="100"/>
      <c r="D286" s="100"/>
      <c r="E286" s="100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5.75" customHeight="1">
      <c r="A287" s="101"/>
      <c r="B287" s="100"/>
      <c r="C287" s="100"/>
      <c r="D287" s="100"/>
      <c r="E287" s="100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5.75" customHeight="1">
      <c r="A288" s="101"/>
      <c r="B288" s="100"/>
      <c r="C288" s="100"/>
      <c r="D288" s="100"/>
      <c r="E288" s="100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5.75" customHeight="1">
      <c r="A289" s="101"/>
      <c r="B289" s="100"/>
      <c r="C289" s="100"/>
      <c r="D289" s="100"/>
      <c r="E289" s="100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5.75" customHeight="1">
      <c r="A290" s="101"/>
      <c r="B290" s="100"/>
      <c r="C290" s="100"/>
      <c r="D290" s="100"/>
      <c r="E290" s="100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5.75" customHeight="1">
      <c r="A291" s="101"/>
      <c r="B291" s="100"/>
      <c r="C291" s="100"/>
      <c r="D291" s="100"/>
      <c r="E291" s="100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5.75" customHeight="1">
      <c r="A292" s="101"/>
      <c r="B292" s="100"/>
      <c r="C292" s="100"/>
      <c r="D292" s="100"/>
      <c r="E292" s="100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5.75" customHeight="1">
      <c r="A293" s="101"/>
      <c r="B293" s="100"/>
      <c r="C293" s="100"/>
      <c r="D293" s="100"/>
      <c r="E293" s="100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5.75" customHeight="1">
      <c r="A294" s="101"/>
      <c r="B294" s="100"/>
      <c r="C294" s="100"/>
      <c r="D294" s="100"/>
      <c r="E294" s="100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5.75" customHeight="1">
      <c r="A295" s="101"/>
      <c r="B295" s="100"/>
      <c r="C295" s="100"/>
      <c r="D295" s="100"/>
      <c r="E295" s="100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5.75" customHeight="1">
      <c r="A296" s="101"/>
      <c r="B296" s="100"/>
      <c r="C296" s="100"/>
      <c r="D296" s="100"/>
      <c r="E296" s="100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5.75" customHeight="1">
      <c r="A297" s="101"/>
      <c r="B297" s="100"/>
      <c r="C297" s="100"/>
      <c r="D297" s="100"/>
      <c r="E297" s="100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5.75" customHeight="1">
      <c r="A298" s="101"/>
      <c r="B298" s="100"/>
      <c r="C298" s="100"/>
      <c r="D298" s="100"/>
      <c r="E298" s="100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5.75" customHeight="1">
      <c r="A299" s="101"/>
      <c r="B299" s="100"/>
      <c r="C299" s="100"/>
      <c r="D299" s="100"/>
      <c r="E299" s="100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5.75" customHeight="1">
      <c r="A300" s="101"/>
      <c r="B300" s="100"/>
      <c r="C300" s="100"/>
      <c r="D300" s="100"/>
      <c r="E300" s="100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5.75" customHeight="1">
      <c r="A301" s="101"/>
      <c r="B301" s="100"/>
      <c r="C301" s="100"/>
      <c r="D301" s="100"/>
      <c r="E301" s="100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5.75" customHeight="1">
      <c r="A302" s="101"/>
      <c r="B302" s="100"/>
      <c r="C302" s="100"/>
      <c r="D302" s="100"/>
      <c r="E302" s="100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5.75" customHeight="1">
      <c r="A303" s="101"/>
      <c r="B303" s="100"/>
      <c r="C303" s="100"/>
      <c r="D303" s="100"/>
      <c r="E303" s="100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5.75" customHeight="1">
      <c r="A304" s="101"/>
      <c r="B304" s="100"/>
      <c r="C304" s="100"/>
      <c r="D304" s="100"/>
      <c r="E304" s="100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5.75" customHeight="1">
      <c r="A305" s="101"/>
      <c r="B305" s="100"/>
      <c r="C305" s="100"/>
      <c r="D305" s="100"/>
      <c r="E305" s="100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5.75" customHeight="1">
      <c r="A306" s="101"/>
      <c r="B306" s="100"/>
      <c r="C306" s="100"/>
      <c r="D306" s="100"/>
      <c r="E306" s="100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5.75" customHeight="1">
      <c r="A307" s="101"/>
      <c r="B307" s="100"/>
      <c r="C307" s="100"/>
      <c r="D307" s="100"/>
      <c r="E307" s="100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5.75" customHeight="1">
      <c r="A308" s="101"/>
      <c r="B308" s="100"/>
      <c r="C308" s="100"/>
      <c r="D308" s="100"/>
      <c r="E308" s="100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5.75" customHeight="1">
      <c r="A309" s="101"/>
      <c r="B309" s="100"/>
      <c r="C309" s="100"/>
      <c r="D309" s="100"/>
      <c r="E309" s="100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5.75" customHeight="1">
      <c r="A310" s="101"/>
      <c r="B310" s="100"/>
      <c r="C310" s="100"/>
      <c r="D310" s="100"/>
      <c r="E310" s="100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5.75" customHeight="1">
      <c r="A311" s="101"/>
      <c r="B311" s="100"/>
      <c r="C311" s="100"/>
      <c r="D311" s="100"/>
      <c r="E311" s="100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5.75" customHeight="1">
      <c r="A312" s="101"/>
      <c r="B312" s="100"/>
      <c r="C312" s="100"/>
      <c r="D312" s="100"/>
      <c r="E312" s="100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5.75" customHeight="1">
      <c r="A313" s="101"/>
      <c r="B313" s="100"/>
      <c r="C313" s="100"/>
      <c r="D313" s="100"/>
      <c r="E313" s="100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5.75" customHeight="1">
      <c r="A314" s="101"/>
      <c r="B314" s="100"/>
      <c r="C314" s="100"/>
      <c r="D314" s="100"/>
      <c r="E314" s="100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5.75" customHeight="1">
      <c r="A315" s="101"/>
      <c r="B315" s="100"/>
      <c r="C315" s="100"/>
      <c r="D315" s="100"/>
      <c r="E315" s="100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5.75" customHeight="1">
      <c r="A316" s="101"/>
      <c r="B316" s="100"/>
      <c r="C316" s="100"/>
      <c r="D316" s="100"/>
      <c r="E316" s="100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5.75" customHeight="1">
      <c r="A317" s="101"/>
      <c r="B317" s="100"/>
      <c r="C317" s="100"/>
      <c r="D317" s="100"/>
      <c r="E317" s="100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5.75" customHeight="1">
      <c r="A318" s="101"/>
      <c r="B318" s="100"/>
      <c r="C318" s="100"/>
      <c r="D318" s="100"/>
      <c r="E318" s="100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5.75" customHeight="1">
      <c r="A319" s="101"/>
      <c r="B319" s="100"/>
      <c r="C319" s="100"/>
      <c r="D319" s="100"/>
      <c r="E319" s="100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5.75" customHeight="1">
      <c r="A320" s="101"/>
      <c r="B320" s="100"/>
      <c r="C320" s="100"/>
      <c r="D320" s="100"/>
      <c r="E320" s="100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5.75" customHeight="1">
      <c r="A321" s="101"/>
      <c r="B321" s="100"/>
      <c r="C321" s="100"/>
      <c r="D321" s="100"/>
      <c r="E321" s="100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5.75" customHeight="1">
      <c r="A322" s="101"/>
      <c r="B322" s="100"/>
      <c r="C322" s="100"/>
      <c r="D322" s="100"/>
      <c r="E322" s="100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5.75" customHeight="1">
      <c r="A323" s="101"/>
      <c r="B323" s="100"/>
      <c r="C323" s="100"/>
      <c r="D323" s="100"/>
      <c r="E323" s="100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5.75" customHeight="1">
      <c r="A324" s="101"/>
      <c r="B324" s="100"/>
      <c r="C324" s="100"/>
      <c r="D324" s="100"/>
      <c r="E324" s="100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5.75" customHeight="1">
      <c r="A325" s="101"/>
      <c r="B325" s="100"/>
      <c r="C325" s="100"/>
      <c r="D325" s="100"/>
      <c r="E325" s="100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5.75" customHeight="1">
      <c r="A326" s="101"/>
      <c r="B326" s="100"/>
      <c r="C326" s="100"/>
      <c r="D326" s="100"/>
      <c r="E326" s="100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5.75" customHeight="1">
      <c r="A327" s="101"/>
      <c r="B327" s="100"/>
      <c r="C327" s="100"/>
      <c r="D327" s="100"/>
      <c r="E327" s="100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5.75" customHeight="1">
      <c r="A328" s="101"/>
      <c r="B328" s="100"/>
      <c r="C328" s="100"/>
      <c r="D328" s="100"/>
      <c r="E328" s="100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5.75" customHeight="1">
      <c r="A329" s="101"/>
      <c r="B329" s="100"/>
      <c r="C329" s="100"/>
      <c r="D329" s="100"/>
      <c r="E329" s="100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5.75" customHeight="1">
      <c r="A330" s="101"/>
      <c r="B330" s="100"/>
      <c r="C330" s="100"/>
      <c r="D330" s="100"/>
      <c r="E330" s="100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5.75" customHeight="1">
      <c r="A331" s="101"/>
      <c r="B331" s="100"/>
      <c r="C331" s="100"/>
      <c r="D331" s="100"/>
      <c r="E331" s="100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5.75" customHeight="1">
      <c r="A332" s="101"/>
      <c r="B332" s="100"/>
      <c r="C332" s="100"/>
      <c r="D332" s="100"/>
      <c r="E332" s="100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5.75" customHeight="1">
      <c r="A333" s="101"/>
      <c r="B333" s="100"/>
      <c r="C333" s="100"/>
      <c r="D333" s="100"/>
      <c r="E333" s="100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5.75" customHeight="1">
      <c r="A334" s="101"/>
      <c r="B334" s="100"/>
      <c r="C334" s="100"/>
      <c r="D334" s="100"/>
      <c r="E334" s="100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5.75" customHeight="1">
      <c r="A335" s="101"/>
      <c r="B335" s="100"/>
      <c r="C335" s="100"/>
      <c r="D335" s="100"/>
      <c r="E335" s="100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5.75" customHeight="1">
      <c r="A336" s="101"/>
      <c r="B336" s="100"/>
      <c r="C336" s="100"/>
      <c r="D336" s="100"/>
      <c r="E336" s="100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5.75" customHeight="1">
      <c r="A337" s="101"/>
      <c r="B337" s="100"/>
      <c r="C337" s="100"/>
      <c r="D337" s="100"/>
      <c r="E337" s="100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5.75" customHeight="1">
      <c r="A338" s="101"/>
      <c r="B338" s="100"/>
      <c r="C338" s="100"/>
      <c r="D338" s="100"/>
      <c r="E338" s="100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5.75" customHeight="1">
      <c r="A339" s="101"/>
      <c r="B339" s="100"/>
      <c r="C339" s="100"/>
      <c r="D339" s="100"/>
      <c r="E339" s="100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5.75" customHeight="1">
      <c r="A340" s="101"/>
      <c r="B340" s="100"/>
      <c r="C340" s="100"/>
      <c r="D340" s="100"/>
      <c r="E340" s="100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5.75" customHeight="1">
      <c r="A341" s="101"/>
      <c r="B341" s="100"/>
      <c r="C341" s="100"/>
      <c r="D341" s="100"/>
      <c r="E341" s="100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5.75" customHeight="1">
      <c r="A342" s="101"/>
      <c r="B342" s="100"/>
      <c r="C342" s="100"/>
      <c r="D342" s="100"/>
      <c r="E342" s="100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5.75" customHeight="1">
      <c r="A343" s="101"/>
      <c r="B343" s="100"/>
      <c r="C343" s="100"/>
      <c r="D343" s="100"/>
      <c r="E343" s="100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5.75" customHeight="1">
      <c r="A344" s="101"/>
      <c r="B344" s="100"/>
      <c r="C344" s="100"/>
      <c r="D344" s="100"/>
      <c r="E344" s="100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5.75" customHeight="1">
      <c r="A345" s="101"/>
      <c r="B345" s="100"/>
      <c r="C345" s="100"/>
      <c r="D345" s="100"/>
      <c r="E345" s="100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5.75" customHeight="1">
      <c r="A346" s="101"/>
      <c r="B346" s="100"/>
      <c r="C346" s="100"/>
      <c r="D346" s="100"/>
      <c r="E346" s="100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5.75" customHeight="1">
      <c r="A347" s="101"/>
      <c r="B347" s="100"/>
      <c r="C347" s="100"/>
      <c r="D347" s="100"/>
      <c r="E347" s="100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5.75" customHeight="1">
      <c r="A348" s="101"/>
      <c r="B348" s="100"/>
      <c r="C348" s="100"/>
      <c r="D348" s="100"/>
      <c r="E348" s="100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5.75" customHeight="1">
      <c r="A349" s="101"/>
      <c r="B349" s="100"/>
      <c r="C349" s="100"/>
      <c r="D349" s="100"/>
      <c r="E349" s="100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5.75" customHeight="1">
      <c r="A350" s="101"/>
      <c r="B350" s="100"/>
      <c r="C350" s="100"/>
      <c r="D350" s="100"/>
      <c r="E350" s="100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5.75" customHeight="1">
      <c r="A351" s="101"/>
      <c r="B351" s="100"/>
      <c r="C351" s="100"/>
      <c r="D351" s="100"/>
      <c r="E351" s="100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5.75" customHeight="1">
      <c r="A352" s="101"/>
      <c r="B352" s="100"/>
      <c r="C352" s="100"/>
      <c r="D352" s="100"/>
      <c r="E352" s="100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5.75" customHeight="1">
      <c r="A353" s="101"/>
      <c r="B353" s="100"/>
      <c r="C353" s="100"/>
      <c r="D353" s="100"/>
      <c r="E353" s="100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5.75" customHeight="1">
      <c r="A354" s="101"/>
      <c r="B354" s="100"/>
      <c r="C354" s="100"/>
      <c r="D354" s="100"/>
      <c r="E354" s="100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5.75" customHeight="1">
      <c r="A355" s="101"/>
      <c r="B355" s="100"/>
      <c r="C355" s="100"/>
      <c r="D355" s="100"/>
      <c r="E355" s="100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5.75" customHeight="1">
      <c r="A356" s="101"/>
      <c r="B356" s="100"/>
      <c r="C356" s="100"/>
      <c r="D356" s="100"/>
      <c r="E356" s="100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5.75" customHeight="1">
      <c r="A357" s="101"/>
      <c r="B357" s="100"/>
      <c r="C357" s="100"/>
      <c r="D357" s="100"/>
      <c r="E357" s="100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5.75" customHeight="1">
      <c r="A358" s="101"/>
      <c r="B358" s="100"/>
      <c r="C358" s="100"/>
      <c r="D358" s="100"/>
      <c r="E358" s="100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5.75" customHeight="1">
      <c r="A359" s="101"/>
      <c r="B359" s="100"/>
      <c r="C359" s="100"/>
      <c r="D359" s="100"/>
      <c r="E359" s="100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5.75" customHeight="1">
      <c r="A360" s="101"/>
      <c r="B360" s="100"/>
      <c r="C360" s="100"/>
      <c r="D360" s="100"/>
      <c r="E360" s="100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5.75" customHeight="1">
      <c r="A361" s="101"/>
      <c r="B361" s="100"/>
      <c r="C361" s="100"/>
      <c r="D361" s="100"/>
      <c r="E361" s="100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5.75" customHeight="1">
      <c r="A362" s="101"/>
      <c r="B362" s="100"/>
      <c r="C362" s="100"/>
      <c r="D362" s="100"/>
      <c r="E362" s="100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5.75" customHeight="1">
      <c r="A363" s="101"/>
      <c r="B363" s="100"/>
      <c r="C363" s="100"/>
      <c r="D363" s="100"/>
      <c r="E363" s="100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5.75" customHeight="1">
      <c r="A364" s="101"/>
      <c r="B364" s="100"/>
      <c r="C364" s="100"/>
      <c r="D364" s="100"/>
      <c r="E364" s="100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5.75" customHeight="1">
      <c r="A365" s="101"/>
      <c r="B365" s="100"/>
      <c r="C365" s="100"/>
      <c r="D365" s="100"/>
      <c r="E365" s="100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5.75" customHeight="1">
      <c r="A366" s="101"/>
      <c r="B366" s="100"/>
      <c r="C366" s="100"/>
      <c r="D366" s="100"/>
      <c r="E366" s="100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5.75" customHeight="1">
      <c r="A367" s="101"/>
      <c r="B367" s="100"/>
      <c r="C367" s="100"/>
      <c r="D367" s="100"/>
      <c r="E367" s="100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5.75" customHeight="1">
      <c r="A368" s="101"/>
      <c r="B368" s="100"/>
      <c r="C368" s="100"/>
      <c r="D368" s="100"/>
      <c r="E368" s="100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5.75" customHeight="1">
      <c r="A369" s="101"/>
      <c r="B369" s="100"/>
      <c r="C369" s="100"/>
      <c r="D369" s="100"/>
      <c r="E369" s="100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5.75" customHeight="1">
      <c r="A370" s="101"/>
      <c r="B370" s="100"/>
      <c r="C370" s="100"/>
      <c r="D370" s="100"/>
      <c r="E370" s="100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5.75" customHeight="1">
      <c r="A371" s="101"/>
      <c r="B371" s="100"/>
      <c r="C371" s="100"/>
      <c r="D371" s="100"/>
      <c r="E371" s="100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5.75" customHeight="1">
      <c r="A372" s="101"/>
      <c r="B372" s="100"/>
      <c r="C372" s="100"/>
      <c r="D372" s="100"/>
      <c r="E372" s="100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5.75" customHeight="1">
      <c r="A373" s="101"/>
      <c r="B373" s="100"/>
      <c r="C373" s="100"/>
      <c r="D373" s="100"/>
      <c r="E373" s="100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5.75" customHeight="1">
      <c r="A374" s="101"/>
      <c r="B374" s="100"/>
      <c r="C374" s="100"/>
      <c r="D374" s="100"/>
      <c r="E374" s="100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5.75" customHeight="1">
      <c r="A375" s="101"/>
      <c r="B375" s="100"/>
      <c r="C375" s="100"/>
      <c r="D375" s="100"/>
      <c r="E375" s="100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5.75" customHeight="1">
      <c r="A376" s="101"/>
      <c r="B376" s="100"/>
      <c r="C376" s="100"/>
      <c r="D376" s="100"/>
      <c r="E376" s="100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5.75" customHeight="1">
      <c r="A377" s="101"/>
      <c r="B377" s="100"/>
      <c r="C377" s="100"/>
      <c r="D377" s="100"/>
      <c r="E377" s="100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5.75" customHeight="1">
      <c r="A378" s="101"/>
      <c r="B378" s="100"/>
      <c r="C378" s="100"/>
      <c r="D378" s="100"/>
      <c r="E378" s="100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5.75" customHeight="1">
      <c r="A379" s="101"/>
      <c r="B379" s="100"/>
      <c r="C379" s="100"/>
      <c r="D379" s="100"/>
      <c r="E379" s="100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5.75" customHeight="1">
      <c r="A380" s="101"/>
      <c r="B380" s="100"/>
      <c r="C380" s="100"/>
      <c r="D380" s="100"/>
      <c r="E380" s="100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5.75" customHeight="1">
      <c r="A381" s="101"/>
      <c r="B381" s="100"/>
      <c r="C381" s="100"/>
      <c r="D381" s="100"/>
      <c r="E381" s="100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5.75" customHeight="1">
      <c r="A382" s="101"/>
      <c r="B382" s="100"/>
      <c r="C382" s="100"/>
      <c r="D382" s="100"/>
      <c r="E382" s="100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5.75" customHeight="1">
      <c r="A383" s="101"/>
      <c r="B383" s="100"/>
      <c r="C383" s="100"/>
      <c r="D383" s="100"/>
      <c r="E383" s="100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5.75" customHeight="1">
      <c r="A384" s="101"/>
      <c r="B384" s="100"/>
      <c r="C384" s="100"/>
      <c r="D384" s="100"/>
      <c r="E384" s="100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5.75" customHeight="1">
      <c r="A385" s="101"/>
      <c r="B385" s="100"/>
      <c r="C385" s="100"/>
      <c r="D385" s="100"/>
      <c r="E385" s="100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5.75" customHeight="1">
      <c r="A386" s="101"/>
      <c r="B386" s="100"/>
      <c r="C386" s="100"/>
      <c r="D386" s="100"/>
      <c r="E386" s="100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5.75" customHeight="1">
      <c r="A387" s="101"/>
      <c r="B387" s="100"/>
      <c r="C387" s="100"/>
      <c r="D387" s="100"/>
      <c r="E387" s="100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5.75" customHeight="1">
      <c r="A388" s="101"/>
      <c r="B388" s="100"/>
      <c r="C388" s="100"/>
      <c r="D388" s="100"/>
      <c r="E388" s="100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5.75" customHeight="1">
      <c r="A389" s="101"/>
      <c r="B389" s="100"/>
      <c r="C389" s="100"/>
      <c r="D389" s="100"/>
      <c r="E389" s="100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5.75" customHeight="1">
      <c r="A390" s="101"/>
      <c r="B390" s="100"/>
      <c r="C390" s="100"/>
      <c r="D390" s="100"/>
      <c r="E390" s="100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5.75" customHeight="1">
      <c r="A391" s="101"/>
      <c r="B391" s="100"/>
      <c r="C391" s="100"/>
      <c r="D391" s="100"/>
      <c r="E391" s="100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5.75" customHeight="1">
      <c r="A392" s="101"/>
      <c r="B392" s="100"/>
      <c r="C392" s="100"/>
      <c r="D392" s="100"/>
      <c r="E392" s="100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5.75" customHeight="1">
      <c r="A393" s="101"/>
      <c r="B393" s="100"/>
      <c r="C393" s="100"/>
      <c r="D393" s="100"/>
      <c r="E393" s="100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5.75" customHeight="1">
      <c r="A394" s="101"/>
      <c r="B394" s="100"/>
      <c r="C394" s="100"/>
      <c r="D394" s="100"/>
      <c r="E394" s="100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5.75" customHeight="1">
      <c r="A395" s="101"/>
      <c r="B395" s="100"/>
      <c r="C395" s="100"/>
      <c r="D395" s="100"/>
      <c r="E395" s="100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5.75" customHeight="1">
      <c r="A396" s="101"/>
      <c r="B396" s="100"/>
      <c r="C396" s="100"/>
      <c r="D396" s="100"/>
      <c r="E396" s="100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5.75" customHeight="1">
      <c r="A397" s="101"/>
      <c r="B397" s="100"/>
      <c r="C397" s="100"/>
      <c r="D397" s="100"/>
      <c r="E397" s="100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5.75" customHeight="1">
      <c r="A398" s="101"/>
      <c r="B398" s="100"/>
      <c r="C398" s="100"/>
      <c r="D398" s="100"/>
      <c r="E398" s="100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5.75" customHeight="1">
      <c r="A399" s="101"/>
      <c r="B399" s="100"/>
      <c r="C399" s="100"/>
      <c r="D399" s="100"/>
      <c r="E399" s="100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5.75" customHeight="1">
      <c r="A400" s="101"/>
      <c r="B400" s="100"/>
      <c r="C400" s="100"/>
      <c r="D400" s="100"/>
      <c r="E400" s="100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5.75" customHeight="1">
      <c r="A401" s="101"/>
      <c r="B401" s="100"/>
      <c r="C401" s="100"/>
      <c r="D401" s="100"/>
      <c r="E401" s="100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5.75" customHeight="1">
      <c r="A402" s="101"/>
      <c r="B402" s="100"/>
      <c r="C402" s="100"/>
      <c r="D402" s="100"/>
      <c r="E402" s="100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5.75" customHeight="1">
      <c r="A403" s="101"/>
      <c r="B403" s="100"/>
      <c r="C403" s="100"/>
      <c r="D403" s="100"/>
      <c r="E403" s="100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5.75" customHeight="1">
      <c r="A404" s="101"/>
      <c r="B404" s="100"/>
      <c r="C404" s="100"/>
      <c r="D404" s="100"/>
      <c r="E404" s="100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5.75" customHeight="1">
      <c r="A405" s="101"/>
      <c r="B405" s="100"/>
      <c r="C405" s="100"/>
      <c r="D405" s="100"/>
      <c r="E405" s="100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5.75" customHeight="1">
      <c r="A406" s="101"/>
      <c r="B406" s="100"/>
      <c r="C406" s="100"/>
      <c r="D406" s="100"/>
      <c r="E406" s="100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5.75" customHeight="1">
      <c r="A407" s="101"/>
      <c r="B407" s="100"/>
      <c r="C407" s="100"/>
      <c r="D407" s="100"/>
      <c r="E407" s="100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5.75" customHeight="1">
      <c r="A408" s="101"/>
      <c r="B408" s="100"/>
      <c r="C408" s="100"/>
      <c r="D408" s="100"/>
      <c r="E408" s="100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5.75" customHeight="1">
      <c r="A409" s="101"/>
      <c r="B409" s="100"/>
      <c r="C409" s="100"/>
      <c r="D409" s="100"/>
      <c r="E409" s="100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5.75" customHeight="1">
      <c r="A410" s="101"/>
      <c r="B410" s="100"/>
      <c r="C410" s="100"/>
      <c r="D410" s="100"/>
      <c r="E410" s="100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5.75" customHeight="1">
      <c r="A411" s="101"/>
      <c r="B411" s="100"/>
      <c r="C411" s="100"/>
      <c r="D411" s="100"/>
      <c r="E411" s="100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5.75" customHeight="1">
      <c r="A412" s="101"/>
      <c r="B412" s="100"/>
      <c r="C412" s="100"/>
      <c r="D412" s="100"/>
      <c r="E412" s="100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5.75" customHeight="1">
      <c r="A413" s="101"/>
      <c r="B413" s="100"/>
      <c r="C413" s="100"/>
      <c r="D413" s="100"/>
      <c r="E413" s="100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5.75" customHeight="1">
      <c r="A414" s="101"/>
      <c r="B414" s="100"/>
      <c r="C414" s="100"/>
      <c r="D414" s="100"/>
      <c r="E414" s="100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5.75" customHeight="1">
      <c r="A415" s="101"/>
      <c r="B415" s="100"/>
      <c r="C415" s="100"/>
      <c r="D415" s="100"/>
      <c r="E415" s="100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5.75" customHeight="1">
      <c r="A416" s="101"/>
      <c r="B416" s="100"/>
      <c r="C416" s="100"/>
      <c r="D416" s="100"/>
      <c r="E416" s="100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5.75" customHeight="1">
      <c r="A417" s="101"/>
      <c r="B417" s="100"/>
      <c r="C417" s="100"/>
      <c r="D417" s="100"/>
      <c r="E417" s="100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5.75" customHeight="1">
      <c r="A418" s="101"/>
      <c r="B418" s="100"/>
      <c r="C418" s="100"/>
      <c r="D418" s="100"/>
      <c r="E418" s="100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5.75" customHeight="1">
      <c r="A419" s="101"/>
      <c r="B419" s="100"/>
      <c r="C419" s="100"/>
      <c r="D419" s="100"/>
      <c r="E419" s="100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5.75" customHeight="1">
      <c r="A420" s="101"/>
      <c r="B420" s="100"/>
      <c r="C420" s="100"/>
      <c r="D420" s="100"/>
      <c r="E420" s="100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5.75" customHeight="1">
      <c r="A421" s="101"/>
      <c r="B421" s="100"/>
      <c r="C421" s="100"/>
      <c r="D421" s="100"/>
      <c r="E421" s="100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5.75" customHeight="1">
      <c r="A422" s="101"/>
      <c r="B422" s="100"/>
      <c r="C422" s="100"/>
      <c r="D422" s="100"/>
      <c r="E422" s="100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5.75" customHeight="1">
      <c r="A423" s="101"/>
      <c r="B423" s="100"/>
      <c r="C423" s="100"/>
      <c r="D423" s="100"/>
      <c r="E423" s="100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5.75" customHeight="1">
      <c r="A424" s="101"/>
      <c r="B424" s="100"/>
      <c r="C424" s="100"/>
      <c r="D424" s="100"/>
      <c r="E424" s="100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5.75" customHeight="1">
      <c r="A425" s="101"/>
      <c r="B425" s="100"/>
      <c r="C425" s="100"/>
      <c r="D425" s="100"/>
      <c r="E425" s="100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5.75" customHeight="1">
      <c r="A426" s="101"/>
      <c r="B426" s="100"/>
      <c r="C426" s="100"/>
      <c r="D426" s="100"/>
      <c r="E426" s="100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5.75" customHeight="1">
      <c r="A427" s="101"/>
      <c r="B427" s="100"/>
      <c r="C427" s="100"/>
      <c r="D427" s="100"/>
      <c r="E427" s="100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5.75" customHeight="1">
      <c r="A428" s="101"/>
      <c r="B428" s="100"/>
      <c r="C428" s="100"/>
      <c r="D428" s="100"/>
      <c r="E428" s="100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5.75" customHeight="1">
      <c r="A429" s="101"/>
      <c r="B429" s="100"/>
      <c r="C429" s="100"/>
      <c r="D429" s="100"/>
      <c r="E429" s="100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5.75" customHeight="1">
      <c r="A430" s="101"/>
      <c r="B430" s="100"/>
      <c r="C430" s="100"/>
      <c r="D430" s="100"/>
      <c r="E430" s="100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5.75" customHeight="1">
      <c r="A431" s="101"/>
      <c r="B431" s="100"/>
      <c r="C431" s="100"/>
      <c r="D431" s="100"/>
      <c r="E431" s="100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5.75" customHeight="1">
      <c r="A432" s="101"/>
      <c r="B432" s="100"/>
      <c r="C432" s="100"/>
      <c r="D432" s="100"/>
      <c r="E432" s="100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5.75" customHeight="1">
      <c r="A433" s="101"/>
      <c r="B433" s="100"/>
      <c r="C433" s="100"/>
      <c r="D433" s="100"/>
      <c r="E433" s="100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5.75" customHeight="1">
      <c r="A434" s="101"/>
      <c r="B434" s="100"/>
      <c r="C434" s="100"/>
      <c r="D434" s="100"/>
      <c r="E434" s="100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5.75" customHeight="1">
      <c r="A435" s="101"/>
      <c r="B435" s="100"/>
      <c r="C435" s="100"/>
      <c r="D435" s="100"/>
      <c r="E435" s="100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5.75" customHeight="1">
      <c r="A436" s="101"/>
      <c r="B436" s="100"/>
      <c r="C436" s="100"/>
      <c r="D436" s="100"/>
      <c r="E436" s="100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5.75" customHeight="1">
      <c r="A437" s="101"/>
      <c r="B437" s="100"/>
      <c r="C437" s="100"/>
      <c r="D437" s="100"/>
      <c r="E437" s="100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5.75" customHeight="1">
      <c r="A438" s="101"/>
      <c r="B438" s="100"/>
      <c r="C438" s="100"/>
      <c r="D438" s="100"/>
      <c r="E438" s="100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5.75" customHeight="1">
      <c r="A439" s="101"/>
      <c r="B439" s="100"/>
      <c r="C439" s="100"/>
      <c r="D439" s="100"/>
      <c r="E439" s="100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5.75" customHeight="1">
      <c r="A440" s="101"/>
      <c r="B440" s="100"/>
      <c r="C440" s="100"/>
      <c r="D440" s="100"/>
      <c r="E440" s="100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5.75" customHeight="1">
      <c r="A441" s="101"/>
      <c r="B441" s="100"/>
      <c r="C441" s="100"/>
      <c r="D441" s="100"/>
      <c r="E441" s="100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5.75" customHeight="1">
      <c r="A442" s="101"/>
      <c r="B442" s="100"/>
      <c r="C442" s="100"/>
      <c r="D442" s="100"/>
      <c r="E442" s="100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5.75" customHeight="1">
      <c r="A443" s="101"/>
      <c r="B443" s="100"/>
      <c r="C443" s="100"/>
      <c r="D443" s="100"/>
      <c r="E443" s="100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5.75" customHeight="1">
      <c r="A444" s="101"/>
      <c r="B444" s="100"/>
      <c r="C444" s="100"/>
      <c r="D444" s="100"/>
      <c r="E444" s="100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5.75" customHeight="1">
      <c r="A445" s="101"/>
      <c r="B445" s="100"/>
      <c r="C445" s="100"/>
      <c r="D445" s="100"/>
      <c r="E445" s="100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5.75" customHeight="1">
      <c r="A446" s="101"/>
      <c r="B446" s="100"/>
      <c r="C446" s="100"/>
      <c r="D446" s="100"/>
      <c r="E446" s="100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5.75" customHeight="1">
      <c r="A447" s="101"/>
      <c r="B447" s="100"/>
      <c r="C447" s="100"/>
      <c r="D447" s="100"/>
      <c r="E447" s="100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5.75" customHeight="1">
      <c r="A448" s="101"/>
      <c r="B448" s="100"/>
      <c r="C448" s="100"/>
      <c r="D448" s="100"/>
      <c r="E448" s="100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5.75" customHeight="1">
      <c r="A449" s="101"/>
      <c r="B449" s="100"/>
      <c r="C449" s="100"/>
      <c r="D449" s="100"/>
      <c r="E449" s="100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5.75" customHeight="1">
      <c r="A450" s="101"/>
      <c r="B450" s="100"/>
      <c r="C450" s="100"/>
      <c r="D450" s="100"/>
      <c r="E450" s="100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5.75" customHeight="1">
      <c r="A451" s="101"/>
      <c r="B451" s="100"/>
      <c r="C451" s="100"/>
      <c r="D451" s="100"/>
      <c r="E451" s="100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5.75" customHeight="1">
      <c r="A452" s="101"/>
      <c r="B452" s="100"/>
      <c r="C452" s="100"/>
      <c r="D452" s="100"/>
      <c r="E452" s="100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5.75" customHeight="1">
      <c r="A453" s="101"/>
      <c r="B453" s="100"/>
      <c r="C453" s="100"/>
      <c r="D453" s="100"/>
      <c r="E453" s="100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5.75" customHeight="1">
      <c r="A454" s="101"/>
      <c r="B454" s="100"/>
      <c r="C454" s="100"/>
      <c r="D454" s="100"/>
      <c r="E454" s="100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5.75" customHeight="1">
      <c r="A455" s="101"/>
      <c r="B455" s="100"/>
      <c r="C455" s="100"/>
      <c r="D455" s="100"/>
      <c r="E455" s="100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5.75" customHeight="1">
      <c r="A456" s="101"/>
      <c r="B456" s="100"/>
      <c r="C456" s="100"/>
      <c r="D456" s="100"/>
      <c r="E456" s="100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5.75" customHeight="1">
      <c r="A457" s="101"/>
      <c r="B457" s="100"/>
      <c r="C457" s="100"/>
      <c r="D457" s="100"/>
      <c r="E457" s="100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5.75" customHeight="1">
      <c r="A458" s="101"/>
      <c r="B458" s="100"/>
      <c r="C458" s="100"/>
      <c r="D458" s="100"/>
      <c r="E458" s="100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5.75" customHeight="1">
      <c r="A459" s="101"/>
      <c r="B459" s="100"/>
      <c r="C459" s="100"/>
      <c r="D459" s="100"/>
      <c r="E459" s="100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5.75" customHeight="1">
      <c r="A460" s="101"/>
      <c r="B460" s="100"/>
      <c r="C460" s="100"/>
      <c r="D460" s="100"/>
      <c r="E460" s="100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5.75" customHeight="1">
      <c r="A461" s="101"/>
      <c r="B461" s="100"/>
      <c r="C461" s="100"/>
      <c r="D461" s="100"/>
      <c r="E461" s="100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5.75" customHeight="1">
      <c r="A462" s="101"/>
      <c r="B462" s="100"/>
      <c r="C462" s="100"/>
      <c r="D462" s="100"/>
      <c r="E462" s="100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5.75" customHeight="1">
      <c r="A463" s="101"/>
      <c r="B463" s="100"/>
      <c r="C463" s="100"/>
      <c r="D463" s="100"/>
      <c r="E463" s="100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5.75" customHeight="1">
      <c r="A464" s="101"/>
      <c r="B464" s="100"/>
      <c r="C464" s="100"/>
      <c r="D464" s="100"/>
      <c r="E464" s="100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5.75" customHeight="1">
      <c r="A465" s="101"/>
      <c r="B465" s="100"/>
      <c r="C465" s="100"/>
      <c r="D465" s="100"/>
      <c r="E465" s="100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5.75" customHeight="1">
      <c r="A466" s="101"/>
      <c r="B466" s="100"/>
      <c r="C466" s="100"/>
      <c r="D466" s="100"/>
      <c r="E466" s="100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5.75" customHeight="1">
      <c r="A467" s="101"/>
      <c r="B467" s="100"/>
      <c r="C467" s="100"/>
      <c r="D467" s="100"/>
      <c r="E467" s="100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5.75" customHeight="1">
      <c r="A468" s="101"/>
      <c r="B468" s="100"/>
      <c r="C468" s="100"/>
      <c r="D468" s="100"/>
      <c r="E468" s="100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5.75" customHeight="1">
      <c r="A469" s="101"/>
      <c r="B469" s="100"/>
      <c r="C469" s="100"/>
      <c r="D469" s="100"/>
      <c r="E469" s="100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5.75" customHeight="1">
      <c r="A470" s="101"/>
      <c r="B470" s="100"/>
      <c r="C470" s="100"/>
      <c r="D470" s="100"/>
      <c r="E470" s="100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5.75" customHeight="1">
      <c r="A471" s="101"/>
      <c r="B471" s="100"/>
      <c r="C471" s="100"/>
      <c r="D471" s="100"/>
      <c r="E471" s="100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5.75" customHeight="1">
      <c r="A472" s="101"/>
      <c r="B472" s="100"/>
      <c r="C472" s="100"/>
      <c r="D472" s="100"/>
      <c r="E472" s="100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5.75" customHeight="1">
      <c r="A473" s="101"/>
      <c r="B473" s="100"/>
      <c r="C473" s="100"/>
      <c r="D473" s="100"/>
      <c r="E473" s="100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5.75" customHeight="1">
      <c r="A474" s="101"/>
      <c r="B474" s="100"/>
      <c r="C474" s="100"/>
      <c r="D474" s="100"/>
      <c r="E474" s="100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5.75" customHeight="1">
      <c r="A475" s="101"/>
      <c r="B475" s="100"/>
      <c r="C475" s="100"/>
      <c r="D475" s="100"/>
      <c r="E475" s="100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5.75" customHeight="1">
      <c r="A476" s="101"/>
      <c r="B476" s="100"/>
      <c r="C476" s="100"/>
      <c r="D476" s="100"/>
      <c r="E476" s="100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5.75" customHeight="1">
      <c r="A477" s="101"/>
      <c r="B477" s="100"/>
      <c r="C477" s="100"/>
      <c r="D477" s="100"/>
      <c r="E477" s="100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5.75" customHeight="1">
      <c r="A478" s="101"/>
      <c r="B478" s="100"/>
      <c r="C478" s="100"/>
      <c r="D478" s="100"/>
      <c r="E478" s="100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5.75" customHeight="1">
      <c r="A479" s="101"/>
      <c r="B479" s="100"/>
      <c r="C479" s="100"/>
      <c r="D479" s="100"/>
      <c r="E479" s="100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5.75" customHeight="1">
      <c r="A480" s="101"/>
      <c r="B480" s="100"/>
      <c r="C480" s="100"/>
      <c r="D480" s="100"/>
      <c r="E480" s="100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5.75" customHeight="1">
      <c r="A481" s="101"/>
      <c r="B481" s="100"/>
      <c r="C481" s="100"/>
      <c r="D481" s="100"/>
      <c r="E481" s="100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5.75" customHeight="1">
      <c r="A482" s="101"/>
      <c r="B482" s="100"/>
      <c r="C482" s="100"/>
      <c r="D482" s="100"/>
      <c r="E482" s="100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5.75" customHeight="1">
      <c r="A483" s="101"/>
      <c r="B483" s="100"/>
      <c r="C483" s="100"/>
      <c r="D483" s="100"/>
      <c r="E483" s="100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5.75" customHeight="1">
      <c r="A484" s="101"/>
      <c r="B484" s="100"/>
      <c r="C484" s="100"/>
      <c r="D484" s="100"/>
      <c r="E484" s="100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5.75" customHeight="1">
      <c r="A485" s="101"/>
      <c r="B485" s="100"/>
      <c r="C485" s="100"/>
      <c r="D485" s="100"/>
      <c r="E485" s="100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5.75" customHeight="1">
      <c r="A486" s="101"/>
      <c r="B486" s="100"/>
      <c r="C486" s="100"/>
      <c r="D486" s="100"/>
      <c r="E486" s="100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5.75" customHeight="1">
      <c r="A487" s="101"/>
      <c r="B487" s="100"/>
      <c r="C487" s="100"/>
      <c r="D487" s="100"/>
      <c r="E487" s="100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5.75" customHeight="1">
      <c r="A488" s="101"/>
      <c r="B488" s="100"/>
      <c r="C488" s="100"/>
      <c r="D488" s="100"/>
      <c r="E488" s="100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5.75" customHeight="1">
      <c r="A489" s="101"/>
      <c r="B489" s="100"/>
      <c r="C489" s="100"/>
      <c r="D489" s="100"/>
      <c r="E489" s="100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5.75" customHeight="1">
      <c r="A490" s="101"/>
      <c r="B490" s="100"/>
      <c r="C490" s="100"/>
      <c r="D490" s="100"/>
      <c r="E490" s="100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5.75" customHeight="1">
      <c r="A491" s="101"/>
      <c r="B491" s="100"/>
      <c r="C491" s="100"/>
      <c r="D491" s="100"/>
      <c r="E491" s="100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5.75" customHeight="1">
      <c r="A492" s="101"/>
      <c r="B492" s="100"/>
      <c r="C492" s="100"/>
      <c r="D492" s="100"/>
      <c r="E492" s="100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5.75" customHeight="1">
      <c r="A493" s="101"/>
      <c r="B493" s="100"/>
      <c r="C493" s="100"/>
      <c r="D493" s="100"/>
      <c r="E493" s="100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5.75" customHeight="1">
      <c r="A494" s="101"/>
      <c r="B494" s="100"/>
      <c r="C494" s="100"/>
      <c r="D494" s="100"/>
      <c r="E494" s="100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5.75" customHeight="1">
      <c r="A495" s="101"/>
      <c r="B495" s="100"/>
      <c r="C495" s="100"/>
      <c r="D495" s="100"/>
      <c r="E495" s="100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5.75" customHeight="1">
      <c r="A496" s="101"/>
      <c r="B496" s="100"/>
      <c r="C496" s="100"/>
      <c r="D496" s="100"/>
      <c r="E496" s="100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5.75" customHeight="1">
      <c r="A497" s="101"/>
      <c r="B497" s="100"/>
      <c r="C497" s="100"/>
      <c r="D497" s="100"/>
      <c r="E497" s="100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5.75" customHeight="1">
      <c r="A498" s="101"/>
      <c r="B498" s="100"/>
      <c r="C498" s="100"/>
      <c r="D498" s="100"/>
      <c r="E498" s="100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5.75" customHeight="1">
      <c r="A499" s="101"/>
      <c r="B499" s="100"/>
      <c r="C499" s="100"/>
      <c r="D499" s="100"/>
      <c r="E499" s="100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5.75" customHeight="1">
      <c r="A500" s="101"/>
      <c r="B500" s="100"/>
      <c r="C500" s="100"/>
      <c r="D500" s="100"/>
      <c r="E500" s="100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5.75" customHeight="1">
      <c r="A501" s="101"/>
      <c r="B501" s="100"/>
      <c r="C501" s="100"/>
      <c r="D501" s="100"/>
      <c r="E501" s="100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5.75" customHeight="1">
      <c r="A502" s="101"/>
      <c r="B502" s="100"/>
      <c r="C502" s="100"/>
      <c r="D502" s="100"/>
      <c r="E502" s="100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5.75" customHeight="1">
      <c r="A503" s="101"/>
      <c r="B503" s="100"/>
      <c r="C503" s="100"/>
      <c r="D503" s="100"/>
      <c r="E503" s="100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5.75" customHeight="1">
      <c r="A504" s="101"/>
      <c r="B504" s="100"/>
      <c r="C504" s="100"/>
      <c r="D504" s="100"/>
      <c r="E504" s="100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5.75" customHeight="1">
      <c r="A505" s="101"/>
      <c r="B505" s="100"/>
      <c r="C505" s="100"/>
      <c r="D505" s="100"/>
      <c r="E505" s="100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5.75" customHeight="1">
      <c r="A506" s="101"/>
      <c r="B506" s="100"/>
      <c r="C506" s="100"/>
      <c r="D506" s="100"/>
      <c r="E506" s="100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5.75" customHeight="1">
      <c r="A507" s="101"/>
      <c r="B507" s="100"/>
      <c r="C507" s="100"/>
      <c r="D507" s="100"/>
      <c r="E507" s="100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5.75" customHeight="1">
      <c r="A508" s="101"/>
      <c r="B508" s="100"/>
      <c r="C508" s="100"/>
      <c r="D508" s="100"/>
      <c r="E508" s="100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5.75" customHeight="1">
      <c r="A509" s="101"/>
      <c r="B509" s="100"/>
      <c r="C509" s="100"/>
      <c r="D509" s="100"/>
      <c r="E509" s="100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5.75" customHeight="1">
      <c r="A510" s="101"/>
      <c r="B510" s="100"/>
      <c r="C510" s="100"/>
      <c r="D510" s="100"/>
      <c r="E510" s="100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5.75" customHeight="1">
      <c r="A511" s="101"/>
      <c r="B511" s="100"/>
      <c r="C511" s="100"/>
      <c r="D511" s="100"/>
      <c r="E511" s="100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5.75" customHeight="1">
      <c r="A512" s="101"/>
      <c r="B512" s="100"/>
      <c r="C512" s="100"/>
      <c r="D512" s="100"/>
      <c r="E512" s="100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5.75" customHeight="1">
      <c r="A513" s="101"/>
      <c r="B513" s="100"/>
      <c r="C513" s="100"/>
      <c r="D513" s="100"/>
      <c r="E513" s="100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5.75" customHeight="1">
      <c r="A514" s="101"/>
      <c r="B514" s="100"/>
      <c r="C514" s="100"/>
      <c r="D514" s="100"/>
      <c r="E514" s="100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5.75" customHeight="1">
      <c r="A515" s="101"/>
      <c r="B515" s="100"/>
      <c r="C515" s="100"/>
      <c r="D515" s="100"/>
      <c r="E515" s="100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5.75" customHeight="1">
      <c r="A516" s="101"/>
      <c r="B516" s="100"/>
      <c r="C516" s="100"/>
      <c r="D516" s="100"/>
      <c r="E516" s="100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5.75" customHeight="1">
      <c r="A517" s="101"/>
      <c r="B517" s="100"/>
      <c r="C517" s="100"/>
      <c r="D517" s="100"/>
      <c r="E517" s="100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5.75" customHeight="1">
      <c r="A518" s="101"/>
      <c r="B518" s="100"/>
      <c r="C518" s="100"/>
      <c r="D518" s="100"/>
      <c r="E518" s="100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5.75" customHeight="1">
      <c r="A519" s="101"/>
      <c r="B519" s="100"/>
      <c r="C519" s="100"/>
      <c r="D519" s="100"/>
      <c r="E519" s="100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5.75" customHeight="1">
      <c r="A520" s="101"/>
      <c r="B520" s="100"/>
      <c r="C520" s="100"/>
      <c r="D520" s="100"/>
      <c r="E520" s="100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5.75" customHeight="1">
      <c r="A521" s="101"/>
      <c r="B521" s="100"/>
      <c r="C521" s="100"/>
      <c r="D521" s="100"/>
      <c r="E521" s="100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5.75" customHeight="1">
      <c r="A522" s="101"/>
      <c r="B522" s="100"/>
      <c r="C522" s="100"/>
      <c r="D522" s="100"/>
      <c r="E522" s="100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5.75" customHeight="1">
      <c r="A523" s="101"/>
      <c r="B523" s="100"/>
      <c r="C523" s="100"/>
      <c r="D523" s="100"/>
      <c r="E523" s="100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5.75" customHeight="1">
      <c r="A524" s="101"/>
      <c r="B524" s="100"/>
      <c r="C524" s="100"/>
      <c r="D524" s="100"/>
      <c r="E524" s="100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5.75" customHeight="1">
      <c r="A525" s="101"/>
      <c r="B525" s="100"/>
      <c r="C525" s="100"/>
      <c r="D525" s="100"/>
      <c r="E525" s="100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5.75" customHeight="1">
      <c r="A526" s="101"/>
      <c r="B526" s="100"/>
      <c r="C526" s="100"/>
      <c r="D526" s="100"/>
      <c r="E526" s="100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5.75" customHeight="1">
      <c r="A527" s="101"/>
      <c r="B527" s="100"/>
      <c r="C527" s="100"/>
      <c r="D527" s="100"/>
      <c r="E527" s="100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5.75" customHeight="1">
      <c r="A528" s="101"/>
      <c r="B528" s="100"/>
      <c r="C528" s="100"/>
      <c r="D528" s="100"/>
      <c r="E528" s="100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5.75" customHeight="1">
      <c r="A529" s="101"/>
      <c r="B529" s="100"/>
      <c r="C529" s="100"/>
      <c r="D529" s="100"/>
      <c r="E529" s="100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5.75" customHeight="1">
      <c r="A530" s="101"/>
      <c r="B530" s="100"/>
      <c r="C530" s="100"/>
      <c r="D530" s="100"/>
      <c r="E530" s="100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5.75" customHeight="1">
      <c r="A531" s="101"/>
      <c r="B531" s="100"/>
      <c r="C531" s="100"/>
      <c r="D531" s="100"/>
      <c r="E531" s="100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5.75" customHeight="1">
      <c r="A532" s="101"/>
      <c r="B532" s="100"/>
      <c r="C532" s="100"/>
      <c r="D532" s="100"/>
      <c r="E532" s="100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5.75" customHeight="1">
      <c r="A533" s="101"/>
      <c r="B533" s="100"/>
      <c r="C533" s="100"/>
      <c r="D533" s="100"/>
      <c r="E533" s="100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5.75" customHeight="1">
      <c r="A534" s="101"/>
      <c r="B534" s="100"/>
      <c r="C534" s="100"/>
      <c r="D534" s="100"/>
      <c r="E534" s="100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5.75" customHeight="1">
      <c r="A535" s="101"/>
      <c r="B535" s="100"/>
      <c r="C535" s="100"/>
      <c r="D535" s="100"/>
      <c r="E535" s="100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5.75" customHeight="1">
      <c r="A536" s="101"/>
      <c r="B536" s="100"/>
      <c r="C536" s="100"/>
      <c r="D536" s="100"/>
      <c r="E536" s="100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5.75" customHeight="1">
      <c r="A537" s="101"/>
      <c r="B537" s="100"/>
      <c r="C537" s="100"/>
      <c r="D537" s="100"/>
      <c r="E537" s="100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5.75" customHeight="1">
      <c r="A538" s="101"/>
      <c r="B538" s="100"/>
      <c r="C538" s="100"/>
      <c r="D538" s="100"/>
      <c r="E538" s="100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5.75" customHeight="1">
      <c r="A539" s="101"/>
      <c r="B539" s="100"/>
      <c r="C539" s="100"/>
      <c r="D539" s="100"/>
      <c r="E539" s="100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5.75" customHeight="1">
      <c r="A540" s="101"/>
      <c r="B540" s="100"/>
      <c r="C540" s="100"/>
      <c r="D540" s="100"/>
      <c r="E540" s="100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5.75" customHeight="1">
      <c r="A541" s="101"/>
      <c r="B541" s="100"/>
      <c r="C541" s="100"/>
      <c r="D541" s="100"/>
      <c r="E541" s="100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5.75" customHeight="1">
      <c r="A542" s="101"/>
      <c r="B542" s="100"/>
      <c r="C542" s="100"/>
      <c r="D542" s="100"/>
      <c r="E542" s="100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5.75" customHeight="1">
      <c r="A543" s="101"/>
      <c r="B543" s="100"/>
      <c r="C543" s="100"/>
      <c r="D543" s="100"/>
      <c r="E543" s="100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5.75" customHeight="1">
      <c r="A544" s="101"/>
      <c r="B544" s="100"/>
      <c r="C544" s="100"/>
      <c r="D544" s="100"/>
      <c r="E544" s="100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5.75" customHeight="1">
      <c r="A545" s="101"/>
      <c r="B545" s="100"/>
      <c r="C545" s="100"/>
      <c r="D545" s="100"/>
      <c r="E545" s="100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5.75" customHeight="1">
      <c r="A546" s="101"/>
      <c r="B546" s="100"/>
      <c r="C546" s="100"/>
      <c r="D546" s="100"/>
      <c r="E546" s="100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5.75" customHeight="1">
      <c r="A547" s="101"/>
      <c r="B547" s="100"/>
      <c r="C547" s="100"/>
      <c r="D547" s="100"/>
      <c r="E547" s="100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5.75" customHeight="1">
      <c r="A548" s="101"/>
      <c r="B548" s="100"/>
      <c r="C548" s="100"/>
      <c r="D548" s="100"/>
      <c r="E548" s="100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5.75" customHeight="1">
      <c r="A549" s="101"/>
      <c r="B549" s="100"/>
      <c r="C549" s="100"/>
      <c r="D549" s="100"/>
      <c r="E549" s="100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5.75" customHeight="1">
      <c r="A550" s="101"/>
      <c r="B550" s="100"/>
      <c r="C550" s="100"/>
      <c r="D550" s="100"/>
      <c r="E550" s="100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5.75" customHeight="1">
      <c r="A551" s="101"/>
      <c r="B551" s="100"/>
      <c r="C551" s="100"/>
      <c r="D551" s="100"/>
      <c r="E551" s="100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5.75" customHeight="1">
      <c r="A552" s="101"/>
      <c r="B552" s="100"/>
      <c r="C552" s="100"/>
      <c r="D552" s="100"/>
      <c r="E552" s="100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5.75" customHeight="1">
      <c r="A553" s="101"/>
      <c r="B553" s="100"/>
      <c r="C553" s="100"/>
      <c r="D553" s="100"/>
      <c r="E553" s="100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5.75" customHeight="1">
      <c r="A554" s="101"/>
      <c r="B554" s="100"/>
      <c r="C554" s="100"/>
      <c r="D554" s="100"/>
      <c r="E554" s="100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5.75" customHeight="1">
      <c r="A555" s="101"/>
      <c r="B555" s="100"/>
      <c r="C555" s="100"/>
      <c r="D555" s="100"/>
      <c r="E555" s="100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5.75" customHeight="1">
      <c r="A556" s="101"/>
      <c r="B556" s="100"/>
      <c r="C556" s="100"/>
      <c r="D556" s="100"/>
      <c r="E556" s="100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5.75" customHeight="1">
      <c r="A557" s="101"/>
      <c r="B557" s="100"/>
      <c r="C557" s="100"/>
      <c r="D557" s="100"/>
      <c r="E557" s="100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5.75" customHeight="1">
      <c r="A558" s="101"/>
      <c r="B558" s="100"/>
      <c r="C558" s="100"/>
      <c r="D558" s="100"/>
      <c r="E558" s="100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5.75" customHeight="1">
      <c r="A559" s="101"/>
      <c r="B559" s="100"/>
      <c r="C559" s="100"/>
      <c r="D559" s="100"/>
      <c r="E559" s="100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5.75" customHeight="1">
      <c r="A560" s="101"/>
      <c r="B560" s="100"/>
      <c r="C560" s="100"/>
      <c r="D560" s="100"/>
      <c r="E560" s="100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5.75" customHeight="1">
      <c r="A561" s="101"/>
      <c r="B561" s="100"/>
      <c r="C561" s="100"/>
      <c r="D561" s="100"/>
      <c r="E561" s="100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5.75" customHeight="1">
      <c r="A562" s="101"/>
      <c r="B562" s="100"/>
      <c r="C562" s="100"/>
      <c r="D562" s="100"/>
      <c r="E562" s="100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5.75" customHeight="1">
      <c r="A563" s="101"/>
      <c r="B563" s="100"/>
      <c r="C563" s="100"/>
      <c r="D563" s="100"/>
      <c r="E563" s="100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5.75" customHeight="1">
      <c r="A564" s="101"/>
      <c r="B564" s="100"/>
      <c r="C564" s="100"/>
      <c r="D564" s="100"/>
      <c r="E564" s="100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5.75" customHeight="1">
      <c r="A565" s="101"/>
      <c r="B565" s="100"/>
      <c r="C565" s="100"/>
      <c r="D565" s="100"/>
      <c r="E565" s="100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5.75" customHeight="1">
      <c r="A566" s="101"/>
      <c r="B566" s="100"/>
      <c r="C566" s="100"/>
      <c r="D566" s="100"/>
      <c r="E566" s="100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5.75" customHeight="1">
      <c r="A567" s="101"/>
      <c r="B567" s="100"/>
      <c r="C567" s="100"/>
      <c r="D567" s="100"/>
      <c r="E567" s="100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5.75" customHeight="1">
      <c r="A568" s="101"/>
      <c r="B568" s="100"/>
      <c r="C568" s="100"/>
      <c r="D568" s="100"/>
      <c r="E568" s="100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5.75" customHeight="1">
      <c r="A569" s="101"/>
      <c r="B569" s="100"/>
      <c r="C569" s="100"/>
      <c r="D569" s="100"/>
      <c r="E569" s="100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5.75" customHeight="1">
      <c r="A570" s="101"/>
      <c r="B570" s="100"/>
      <c r="C570" s="100"/>
      <c r="D570" s="100"/>
      <c r="E570" s="100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5.75" customHeight="1">
      <c r="A571" s="101"/>
      <c r="B571" s="100"/>
      <c r="C571" s="100"/>
      <c r="D571" s="100"/>
      <c r="E571" s="100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5.75" customHeight="1">
      <c r="A572" s="101"/>
      <c r="B572" s="100"/>
      <c r="C572" s="100"/>
      <c r="D572" s="100"/>
      <c r="E572" s="100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5.75" customHeight="1">
      <c r="A573" s="101"/>
      <c r="B573" s="100"/>
      <c r="C573" s="100"/>
      <c r="D573" s="100"/>
      <c r="E573" s="100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5.75" customHeight="1">
      <c r="A574" s="101"/>
      <c r="B574" s="100"/>
      <c r="C574" s="100"/>
      <c r="D574" s="100"/>
      <c r="E574" s="100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5.75" customHeight="1">
      <c r="A575" s="101"/>
      <c r="B575" s="100"/>
      <c r="C575" s="100"/>
      <c r="D575" s="100"/>
      <c r="E575" s="100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5.75" customHeight="1">
      <c r="A576" s="101"/>
      <c r="B576" s="100"/>
      <c r="C576" s="100"/>
      <c r="D576" s="100"/>
      <c r="E576" s="100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5.75" customHeight="1">
      <c r="A577" s="101"/>
      <c r="B577" s="100"/>
      <c r="C577" s="100"/>
      <c r="D577" s="100"/>
      <c r="E577" s="100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5.75" customHeight="1">
      <c r="A578" s="101"/>
      <c r="B578" s="100"/>
      <c r="C578" s="100"/>
      <c r="D578" s="100"/>
      <c r="E578" s="100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5.75" customHeight="1">
      <c r="A579" s="101"/>
      <c r="B579" s="100"/>
      <c r="C579" s="100"/>
      <c r="D579" s="100"/>
      <c r="E579" s="100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5.75" customHeight="1">
      <c r="A580" s="101"/>
      <c r="B580" s="100"/>
      <c r="C580" s="100"/>
      <c r="D580" s="100"/>
      <c r="E580" s="100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5.75" customHeight="1">
      <c r="A581" s="101"/>
      <c r="B581" s="100"/>
      <c r="C581" s="100"/>
      <c r="D581" s="100"/>
      <c r="E581" s="100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5.75" customHeight="1">
      <c r="A582" s="101"/>
      <c r="B582" s="100"/>
      <c r="C582" s="100"/>
      <c r="D582" s="100"/>
      <c r="E582" s="100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5.75" customHeight="1">
      <c r="A583" s="101"/>
      <c r="B583" s="100"/>
      <c r="C583" s="100"/>
      <c r="D583" s="100"/>
      <c r="E583" s="100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5.75" customHeight="1">
      <c r="A584" s="101"/>
      <c r="B584" s="100"/>
      <c r="C584" s="100"/>
      <c r="D584" s="100"/>
      <c r="E584" s="100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5.75" customHeight="1">
      <c r="A585" s="101"/>
      <c r="B585" s="100"/>
      <c r="C585" s="100"/>
      <c r="D585" s="100"/>
      <c r="E585" s="100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5.75" customHeight="1">
      <c r="A586" s="101"/>
      <c r="B586" s="100"/>
      <c r="C586" s="100"/>
      <c r="D586" s="100"/>
      <c r="E586" s="100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5.75" customHeight="1">
      <c r="A587" s="101"/>
      <c r="B587" s="100"/>
      <c r="C587" s="100"/>
      <c r="D587" s="100"/>
      <c r="E587" s="100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5.75" customHeight="1">
      <c r="A588" s="101"/>
      <c r="B588" s="100"/>
      <c r="C588" s="100"/>
      <c r="D588" s="100"/>
      <c r="E588" s="100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5.75" customHeight="1">
      <c r="A589" s="101"/>
      <c r="B589" s="100"/>
      <c r="C589" s="100"/>
      <c r="D589" s="100"/>
      <c r="E589" s="100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5.75" customHeight="1">
      <c r="A590" s="101"/>
      <c r="B590" s="100"/>
      <c r="C590" s="100"/>
      <c r="D590" s="100"/>
      <c r="E590" s="100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5.75" customHeight="1">
      <c r="A591" s="101"/>
      <c r="B591" s="100"/>
      <c r="C591" s="100"/>
      <c r="D591" s="100"/>
      <c r="E591" s="100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5.75" customHeight="1">
      <c r="A592" s="101"/>
      <c r="B592" s="100"/>
      <c r="C592" s="100"/>
      <c r="D592" s="100"/>
      <c r="E592" s="100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5.75" customHeight="1">
      <c r="A593" s="101"/>
      <c r="B593" s="100"/>
      <c r="C593" s="100"/>
      <c r="D593" s="100"/>
      <c r="E593" s="100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5.75" customHeight="1">
      <c r="A594" s="101"/>
      <c r="B594" s="100"/>
      <c r="C594" s="100"/>
      <c r="D594" s="100"/>
      <c r="E594" s="100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5.75" customHeight="1">
      <c r="A595" s="101"/>
      <c r="B595" s="100"/>
      <c r="C595" s="100"/>
      <c r="D595" s="100"/>
      <c r="E595" s="100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5.75" customHeight="1">
      <c r="A596" s="101"/>
      <c r="B596" s="100"/>
      <c r="C596" s="100"/>
      <c r="D596" s="100"/>
      <c r="E596" s="100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5.75" customHeight="1">
      <c r="A597" s="101"/>
      <c r="B597" s="100"/>
      <c r="C597" s="100"/>
      <c r="D597" s="100"/>
      <c r="E597" s="100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5.75" customHeight="1">
      <c r="A598" s="101"/>
      <c r="B598" s="100"/>
      <c r="C598" s="100"/>
      <c r="D598" s="100"/>
      <c r="E598" s="100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5.75" customHeight="1">
      <c r="A599" s="101"/>
      <c r="B599" s="100"/>
      <c r="C599" s="100"/>
      <c r="D599" s="100"/>
      <c r="E599" s="100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5.75" customHeight="1">
      <c r="A600" s="101"/>
      <c r="B600" s="100"/>
      <c r="C600" s="100"/>
      <c r="D600" s="100"/>
      <c r="E600" s="100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5.75" customHeight="1">
      <c r="A601" s="101"/>
      <c r="B601" s="100"/>
      <c r="C601" s="100"/>
      <c r="D601" s="100"/>
      <c r="E601" s="100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5.75" customHeight="1">
      <c r="A602" s="101"/>
      <c r="B602" s="100"/>
      <c r="C602" s="100"/>
      <c r="D602" s="100"/>
      <c r="E602" s="100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5.75" customHeight="1">
      <c r="A603" s="101"/>
      <c r="B603" s="100"/>
      <c r="C603" s="100"/>
      <c r="D603" s="100"/>
      <c r="E603" s="100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5.75" customHeight="1">
      <c r="A604" s="101"/>
      <c r="B604" s="100"/>
      <c r="C604" s="100"/>
      <c r="D604" s="100"/>
      <c r="E604" s="100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5.75" customHeight="1">
      <c r="A605" s="101"/>
      <c r="B605" s="100"/>
      <c r="C605" s="100"/>
      <c r="D605" s="100"/>
      <c r="E605" s="100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5.75" customHeight="1">
      <c r="A606" s="101"/>
      <c r="B606" s="100"/>
      <c r="C606" s="100"/>
      <c r="D606" s="100"/>
      <c r="E606" s="100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5.75" customHeight="1">
      <c r="A607" s="101"/>
      <c r="B607" s="100"/>
      <c r="C607" s="100"/>
      <c r="D607" s="100"/>
      <c r="E607" s="100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5.75" customHeight="1">
      <c r="A608" s="101"/>
      <c r="B608" s="100"/>
      <c r="C608" s="100"/>
      <c r="D608" s="100"/>
      <c r="E608" s="100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5.75" customHeight="1">
      <c r="A609" s="101"/>
      <c r="B609" s="100"/>
      <c r="C609" s="100"/>
      <c r="D609" s="100"/>
      <c r="E609" s="100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5.75" customHeight="1">
      <c r="A610" s="101"/>
      <c r="B610" s="100"/>
      <c r="C610" s="100"/>
      <c r="D610" s="100"/>
      <c r="E610" s="100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5.75" customHeight="1">
      <c r="A611" s="101"/>
      <c r="B611" s="100"/>
      <c r="C611" s="100"/>
      <c r="D611" s="100"/>
      <c r="E611" s="100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5.75" customHeight="1">
      <c r="A612" s="101"/>
      <c r="B612" s="100"/>
      <c r="C612" s="100"/>
      <c r="D612" s="100"/>
      <c r="E612" s="100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5.75" customHeight="1">
      <c r="A613" s="101"/>
      <c r="B613" s="100"/>
      <c r="C613" s="100"/>
      <c r="D613" s="100"/>
      <c r="E613" s="100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5.75" customHeight="1">
      <c r="A614" s="101"/>
      <c r="B614" s="100"/>
      <c r="C614" s="100"/>
      <c r="D614" s="100"/>
      <c r="E614" s="100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5.75" customHeight="1">
      <c r="A615" s="101"/>
      <c r="B615" s="100"/>
      <c r="C615" s="100"/>
      <c r="D615" s="100"/>
      <c r="E615" s="100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5.75" customHeight="1">
      <c r="A616" s="101"/>
      <c r="B616" s="100"/>
      <c r="C616" s="100"/>
      <c r="D616" s="100"/>
      <c r="E616" s="100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5.75" customHeight="1">
      <c r="A617" s="101"/>
      <c r="B617" s="100"/>
      <c r="C617" s="100"/>
      <c r="D617" s="100"/>
      <c r="E617" s="100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5.75" customHeight="1">
      <c r="A618" s="101"/>
      <c r="B618" s="100"/>
      <c r="C618" s="100"/>
      <c r="D618" s="100"/>
      <c r="E618" s="100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5.75" customHeight="1">
      <c r="A619" s="101"/>
      <c r="B619" s="100"/>
      <c r="C619" s="100"/>
      <c r="D619" s="100"/>
      <c r="E619" s="100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5.75" customHeight="1">
      <c r="A620" s="101"/>
      <c r="B620" s="100"/>
      <c r="C620" s="100"/>
      <c r="D620" s="100"/>
      <c r="E620" s="100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5.75" customHeight="1">
      <c r="A621" s="101"/>
      <c r="B621" s="100"/>
      <c r="C621" s="100"/>
      <c r="D621" s="100"/>
      <c r="E621" s="100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5.75" customHeight="1">
      <c r="A622" s="101"/>
      <c r="B622" s="100"/>
      <c r="C622" s="100"/>
      <c r="D622" s="100"/>
      <c r="E622" s="100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5.75" customHeight="1">
      <c r="A623" s="101"/>
      <c r="B623" s="100"/>
      <c r="C623" s="100"/>
      <c r="D623" s="100"/>
      <c r="E623" s="100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5.75" customHeight="1">
      <c r="A624" s="101"/>
      <c r="B624" s="100"/>
      <c r="C624" s="100"/>
      <c r="D624" s="100"/>
      <c r="E624" s="100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5.75" customHeight="1">
      <c r="A625" s="101"/>
      <c r="B625" s="100"/>
      <c r="C625" s="100"/>
      <c r="D625" s="100"/>
      <c r="E625" s="100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5.75" customHeight="1">
      <c r="A626" s="101"/>
      <c r="B626" s="100"/>
      <c r="C626" s="100"/>
      <c r="D626" s="100"/>
      <c r="E626" s="100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5.75" customHeight="1">
      <c r="A627" s="101"/>
      <c r="B627" s="100"/>
      <c r="C627" s="100"/>
      <c r="D627" s="100"/>
      <c r="E627" s="100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5.75" customHeight="1">
      <c r="A628" s="101"/>
      <c r="B628" s="100"/>
      <c r="C628" s="100"/>
      <c r="D628" s="100"/>
      <c r="E628" s="100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5.75" customHeight="1">
      <c r="A629" s="101"/>
      <c r="B629" s="100"/>
      <c r="C629" s="100"/>
      <c r="D629" s="100"/>
      <c r="E629" s="100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5.75" customHeight="1">
      <c r="A630" s="101"/>
      <c r="B630" s="100"/>
      <c r="C630" s="100"/>
      <c r="D630" s="100"/>
      <c r="E630" s="100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5.75" customHeight="1">
      <c r="A631" s="101"/>
      <c r="B631" s="100"/>
      <c r="C631" s="100"/>
      <c r="D631" s="100"/>
      <c r="E631" s="100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5.75" customHeight="1">
      <c r="A632" s="101"/>
      <c r="B632" s="100"/>
      <c r="C632" s="100"/>
      <c r="D632" s="100"/>
      <c r="E632" s="100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5.75" customHeight="1">
      <c r="A633" s="101"/>
      <c r="B633" s="100"/>
      <c r="C633" s="100"/>
      <c r="D633" s="100"/>
      <c r="E633" s="100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5.75" customHeight="1">
      <c r="A634" s="101"/>
      <c r="B634" s="100"/>
      <c r="C634" s="100"/>
      <c r="D634" s="100"/>
      <c r="E634" s="100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5.75" customHeight="1">
      <c r="A635" s="101"/>
      <c r="B635" s="100"/>
      <c r="C635" s="100"/>
      <c r="D635" s="100"/>
      <c r="E635" s="100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5.75" customHeight="1">
      <c r="A636" s="101"/>
      <c r="B636" s="100"/>
      <c r="C636" s="100"/>
      <c r="D636" s="100"/>
      <c r="E636" s="100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5.75" customHeight="1">
      <c r="A637" s="101"/>
      <c r="B637" s="100"/>
      <c r="C637" s="100"/>
      <c r="D637" s="100"/>
      <c r="E637" s="100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5.75" customHeight="1">
      <c r="A638" s="101"/>
      <c r="B638" s="100"/>
      <c r="C638" s="100"/>
      <c r="D638" s="100"/>
      <c r="E638" s="100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5.75" customHeight="1">
      <c r="A639" s="101"/>
      <c r="B639" s="100"/>
      <c r="C639" s="100"/>
      <c r="D639" s="100"/>
      <c r="E639" s="100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5.75" customHeight="1">
      <c r="A640" s="101"/>
      <c r="B640" s="100"/>
      <c r="C640" s="100"/>
      <c r="D640" s="100"/>
      <c r="E640" s="100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5.75" customHeight="1">
      <c r="A641" s="101"/>
      <c r="B641" s="100"/>
      <c r="C641" s="100"/>
      <c r="D641" s="100"/>
      <c r="E641" s="100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5.75" customHeight="1">
      <c r="A642" s="101"/>
      <c r="B642" s="100"/>
      <c r="C642" s="100"/>
      <c r="D642" s="100"/>
      <c r="E642" s="100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5.75" customHeight="1">
      <c r="A643" s="101"/>
      <c r="B643" s="100"/>
      <c r="C643" s="100"/>
      <c r="D643" s="100"/>
      <c r="E643" s="100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5.75" customHeight="1">
      <c r="A644" s="101"/>
      <c r="B644" s="100"/>
      <c r="C644" s="100"/>
      <c r="D644" s="100"/>
      <c r="E644" s="100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5.75" customHeight="1">
      <c r="A645" s="101"/>
      <c r="B645" s="100"/>
      <c r="C645" s="100"/>
      <c r="D645" s="100"/>
      <c r="E645" s="100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5.75" customHeight="1">
      <c r="A646" s="101"/>
      <c r="B646" s="100"/>
      <c r="C646" s="100"/>
      <c r="D646" s="100"/>
      <c r="E646" s="100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5.75" customHeight="1">
      <c r="A647" s="101"/>
      <c r="B647" s="100"/>
      <c r="C647" s="100"/>
      <c r="D647" s="100"/>
      <c r="E647" s="100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5.75" customHeight="1">
      <c r="A648" s="101"/>
      <c r="B648" s="100"/>
      <c r="C648" s="100"/>
      <c r="D648" s="100"/>
      <c r="E648" s="100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5.75" customHeight="1">
      <c r="A649" s="101"/>
      <c r="B649" s="100"/>
      <c r="C649" s="100"/>
      <c r="D649" s="100"/>
      <c r="E649" s="100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5.75" customHeight="1">
      <c r="A650" s="101"/>
      <c r="B650" s="100"/>
      <c r="C650" s="100"/>
      <c r="D650" s="100"/>
      <c r="E650" s="100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5.75" customHeight="1">
      <c r="A651" s="101"/>
      <c r="B651" s="100"/>
      <c r="C651" s="100"/>
      <c r="D651" s="100"/>
      <c r="E651" s="100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5.75" customHeight="1">
      <c r="A652" s="101"/>
      <c r="B652" s="100"/>
      <c r="C652" s="100"/>
      <c r="D652" s="100"/>
      <c r="E652" s="100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5.75" customHeight="1">
      <c r="A653" s="101"/>
      <c r="B653" s="100"/>
      <c r="C653" s="100"/>
      <c r="D653" s="100"/>
      <c r="E653" s="100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5.75" customHeight="1">
      <c r="A654" s="101"/>
      <c r="B654" s="100"/>
      <c r="C654" s="100"/>
      <c r="D654" s="100"/>
      <c r="E654" s="100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5.75" customHeight="1">
      <c r="A655" s="101"/>
      <c r="B655" s="100"/>
      <c r="C655" s="100"/>
      <c r="D655" s="100"/>
      <c r="E655" s="100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5.75" customHeight="1">
      <c r="A656" s="101"/>
      <c r="B656" s="100"/>
      <c r="C656" s="100"/>
      <c r="D656" s="100"/>
      <c r="E656" s="100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5.75" customHeight="1">
      <c r="A657" s="101"/>
      <c r="B657" s="100"/>
      <c r="C657" s="100"/>
      <c r="D657" s="100"/>
      <c r="E657" s="100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5.75" customHeight="1">
      <c r="A658" s="101"/>
      <c r="B658" s="100"/>
      <c r="C658" s="100"/>
      <c r="D658" s="100"/>
      <c r="E658" s="100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5.75" customHeight="1">
      <c r="A659" s="101"/>
      <c r="B659" s="100"/>
      <c r="C659" s="100"/>
      <c r="D659" s="100"/>
      <c r="E659" s="100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5.75" customHeight="1">
      <c r="A660" s="101"/>
      <c r="B660" s="100"/>
      <c r="C660" s="100"/>
      <c r="D660" s="100"/>
      <c r="E660" s="100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5.75" customHeight="1">
      <c r="A661" s="101"/>
      <c r="B661" s="100"/>
      <c r="C661" s="100"/>
      <c r="D661" s="100"/>
      <c r="E661" s="100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5.75" customHeight="1">
      <c r="A662" s="101"/>
      <c r="B662" s="100"/>
      <c r="C662" s="100"/>
      <c r="D662" s="100"/>
      <c r="E662" s="100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5.75" customHeight="1">
      <c r="A663" s="101"/>
      <c r="B663" s="100"/>
      <c r="C663" s="100"/>
      <c r="D663" s="100"/>
      <c r="E663" s="100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5.75" customHeight="1">
      <c r="A664" s="101"/>
      <c r="B664" s="100"/>
      <c r="C664" s="100"/>
      <c r="D664" s="100"/>
      <c r="E664" s="100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5.75" customHeight="1">
      <c r="A665" s="101"/>
      <c r="B665" s="100"/>
      <c r="C665" s="100"/>
      <c r="D665" s="100"/>
      <c r="E665" s="100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5.75" customHeight="1">
      <c r="A666" s="101"/>
      <c r="B666" s="100"/>
      <c r="C666" s="100"/>
      <c r="D666" s="100"/>
      <c r="E666" s="100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5.75" customHeight="1">
      <c r="A667" s="101"/>
      <c r="B667" s="100"/>
      <c r="C667" s="100"/>
      <c r="D667" s="100"/>
      <c r="E667" s="100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5.75" customHeight="1">
      <c r="A668" s="101"/>
      <c r="B668" s="100"/>
      <c r="C668" s="100"/>
      <c r="D668" s="100"/>
      <c r="E668" s="100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5.75" customHeight="1">
      <c r="A669" s="101"/>
      <c r="B669" s="100"/>
      <c r="C669" s="100"/>
      <c r="D669" s="100"/>
      <c r="E669" s="100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5.75" customHeight="1">
      <c r="A670" s="101"/>
      <c r="B670" s="100"/>
      <c r="C670" s="100"/>
      <c r="D670" s="100"/>
      <c r="E670" s="100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5.75" customHeight="1">
      <c r="A671" s="101"/>
      <c r="B671" s="100"/>
      <c r="C671" s="100"/>
      <c r="D671" s="100"/>
      <c r="E671" s="100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5.75" customHeight="1">
      <c r="A672" s="101"/>
      <c r="B672" s="100"/>
      <c r="C672" s="100"/>
      <c r="D672" s="100"/>
      <c r="E672" s="100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5.75" customHeight="1">
      <c r="A673" s="101"/>
      <c r="B673" s="100"/>
      <c r="C673" s="100"/>
      <c r="D673" s="100"/>
      <c r="E673" s="100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5.75" customHeight="1">
      <c r="A674" s="101"/>
      <c r="B674" s="100"/>
      <c r="C674" s="100"/>
      <c r="D674" s="100"/>
      <c r="E674" s="100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5.75" customHeight="1">
      <c r="A675" s="101"/>
      <c r="B675" s="100"/>
      <c r="C675" s="100"/>
      <c r="D675" s="100"/>
      <c r="E675" s="100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5.75" customHeight="1">
      <c r="A676" s="101"/>
      <c r="B676" s="100"/>
      <c r="C676" s="100"/>
      <c r="D676" s="100"/>
      <c r="E676" s="100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5.75" customHeight="1">
      <c r="A677" s="101"/>
      <c r="B677" s="100"/>
      <c r="C677" s="100"/>
      <c r="D677" s="100"/>
      <c r="E677" s="100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5.75" customHeight="1">
      <c r="A678" s="101"/>
      <c r="B678" s="100"/>
      <c r="C678" s="100"/>
      <c r="D678" s="100"/>
      <c r="E678" s="100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5.75" customHeight="1">
      <c r="A679" s="101"/>
      <c r="B679" s="100"/>
      <c r="C679" s="100"/>
      <c r="D679" s="100"/>
      <c r="E679" s="100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5.75" customHeight="1">
      <c r="A680" s="101"/>
      <c r="B680" s="100"/>
      <c r="C680" s="100"/>
      <c r="D680" s="100"/>
      <c r="E680" s="100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5.75" customHeight="1">
      <c r="A681" s="101"/>
      <c r="B681" s="100"/>
      <c r="C681" s="100"/>
      <c r="D681" s="100"/>
      <c r="E681" s="100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5.75" customHeight="1">
      <c r="A682" s="101"/>
      <c r="B682" s="100"/>
      <c r="C682" s="100"/>
      <c r="D682" s="100"/>
      <c r="E682" s="100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5.75" customHeight="1">
      <c r="A683" s="101"/>
      <c r="B683" s="100"/>
      <c r="C683" s="100"/>
      <c r="D683" s="100"/>
      <c r="E683" s="100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5.75" customHeight="1">
      <c r="A684" s="101"/>
      <c r="B684" s="100"/>
      <c r="C684" s="100"/>
      <c r="D684" s="100"/>
      <c r="E684" s="100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5.75" customHeight="1">
      <c r="A685" s="101"/>
      <c r="B685" s="100"/>
      <c r="C685" s="100"/>
      <c r="D685" s="100"/>
      <c r="E685" s="100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5.75" customHeight="1">
      <c r="A686" s="101"/>
      <c r="B686" s="100"/>
      <c r="C686" s="100"/>
      <c r="D686" s="100"/>
      <c r="E686" s="100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5.75" customHeight="1">
      <c r="A687" s="101"/>
      <c r="B687" s="100"/>
      <c r="C687" s="100"/>
      <c r="D687" s="100"/>
      <c r="E687" s="100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5.75" customHeight="1">
      <c r="A688" s="101"/>
      <c r="B688" s="100"/>
      <c r="C688" s="100"/>
      <c r="D688" s="100"/>
      <c r="E688" s="100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5.75" customHeight="1">
      <c r="A689" s="101"/>
      <c r="B689" s="100"/>
      <c r="C689" s="100"/>
      <c r="D689" s="100"/>
      <c r="E689" s="100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5.75" customHeight="1">
      <c r="A690" s="101"/>
      <c r="B690" s="100"/>
      <c r="C690" s="100"/>
      <c r="D690" s="100"/>
      <c r="E690" s="100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5.75" customHeight="1">
      <c r="A691" s="101"/>
      <c r="B691" s="100"/>
      <c r="C691" s="100"/>
      <c r="D691" s="100"/>
      <c r="E691" s="100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5.75" customHeight="1">
      <c r="A692" s="101"/>
      <c r="B692" s="100"/>
      <c r="C692" s="100"/>
      <c r="D692" s="100"/>
      <c r="E692" s="100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5.75" customHeight="1">
      <c r="A693" s="101"/>
      <c r="B693" s="100"/>
      <c r="C693" s="100"/>
      <c r="D693" s="100"/>
      <c r="E693" s="100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5.75" customHeight="1">
      <c r="A694" s="101"/>
      <c r="B694" s="100"/>
      <c r="C694" s="100"/>
      <c r="D694" s="100"/>
      <c r="E694" s="100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5.75" customHeight="1">
      <c r="A695" s="101"/>
      <c r="B695" s="100"/>
      <c r="C695" s="100"/>
      <c r="D695" s="100"/>
      <c r="E695" s="100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5.75" customHeight="1">
      <c r="A696" s="101"/>
      <c r="B696" s="100"/>
      <c r="C696" s="100"/>
      <c r="D696" s="100"/>
      <c r="E696" s="100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5.75" customHeight="1">
      <c r="A697" s="101"/>
      <c r="B697" s="100"/>
      <c r="C697" s="100"/>
      <c r="D697" s="100"/>
      <c r="E697" s="100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5.75" customHeight="1">
      <c r="A698" s="101"/>
      <c r="B698" s="100"/>
      <c r="C698" s="100"/>
      <c r="D698" s="100"/>
      <c r="E698" s="100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5.75" customHeight="1">
      <c r="A699" s="101"/>
      <c r="B699" s="100"/>
      <c r="C699" s="100"/>
      <c r="D699" s="100"/>
      <c r="E699" s="100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5.75" customHeight="1">
      <c r="A700" s="101"/>
      <c r="B700" s="100"/>
      <c r="C700" s="100"/>
      <c r="D700" s="100"/>
      <c r="E700" s="100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5.75" customHeight="1">
      <c r="A701" s="101"/>
      <c r="B701" s="100"/>
      <c r="C701" s="100"/>
      <c r="D701" s="100"/>
      <c r="E701" s="100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5.75" customHeight="1">
      <c r="A702" s="101"/>
      <c r="B702" s="100"/>
      <c r="C702" s="100"/>
      <c r="D702" s="100"/>
      <c r="E702" s="100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5.75" customHeight="1">
      <c r="A703" s="101"/>
      <c r="B703" s="100"/>
      <c r="C703" s="100"/>
      <c r="D703" s="100"/>
      <c r="E703" s="100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5.75" customHeight="1">
      <c r="A704" s="101"/>
      <c r="B704" s="100"/>
      <c r="C704" s="100"/>
      <c r="D704" s="100"/>
      <c r="E704" s="100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5.75" customHeight="1">
      <c r="A705" s="101"/>
      <c r="B705" s="100"/>
      <c r="C705" s="100"/>
      <c r="D705" s="100"/>
      <c r="E705" s="100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5.75" customHeight="1">
      <c r="A706" s="101"/>
      <c r="B706" s="100"/>
      <c r="C706" s="100"/>
      <c r="D706" s="100"/>
      <c r="E706" s="100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5.75" customHeight="1">
      <c r="A707" s="101"/>
      <c r="B707" s="100"/>
      <c r="C707" s="100"/>
      <c r="D707" s="100"/>
      <c r="E707" s="100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5.75" customHeight="1">
      <c r="A708" s="101"/>
      <c r="B708" s="100"/>
      <c r="C708" s="100"/>
      <c r="D708" s="100"/>
      <c r="E708" s="100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5.75" customHeight="1">
      <c r="A709" s="101"/>
      <c r="B709" s="100"/>
      <c r="C709" s="100"/>
      <c r="D709" s="100"/>
      <c r="E709" s="100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5.75" customHeight="1">
      <c r="A710" s="101"/>
      <c r="B710" s="100"/>
      <c r="C710" s="100"/>
      <c r="D710" s="100"/>
      <c r="E710" s="100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5.75" customHeight="1">
      <c r="A711" s="101"/>
      <c r="B711" s="100"/>
      <c r="C711" s="100"/>
      <c r="D711" s="100"/>
      <c r="E711" s="100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5.75" customHeight="1">
      <c r="A712" s="101"/>
      <c r="B712" s="100"/>
      <c r="C712" s="100"/>
      <c r="D712" s="100"/>
      <c r="E712" s="100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5.75" customHeight="1">
      <c r="A713" s="101"/>
      <c r="B713" s="100"/>
      <c r="C713" s="100"/>
      <c r="D713" s="100"/>
      <c r="E713" s="100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5.75" customHeight="1">
      <c r="A714" s="101"/>
      <c r="B714" s="100"/>
      <c r="C714" s="100"/>
      <c r="D714" s="100"/>
      <c r="E714" s="100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5.75" customHeight="1">
      <c r="A715" s="101"/>
      <c r="B715" s="100"/>
      <c r="C715" s="100"/>
      <c r="D715" s="100"/>
      <c r="E715" s="100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5.75" customHeight="1">
      <c r="A716" s="101"/>
      <c r="B716" s="100"/>
      <c r="C716" s="100"/>
      <c r="D716" s="100"/>
      <c r="E716" s="100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5.75" customHeight="1">
      <c r="A717" s="101"/>
      <c r="B717" s="100"/>
      <c r="C717" s="100"/>
      <c r="D717" s="100"/>
      <c r="E717" s="100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5.75" customHeight="1">
      <c r="A718" s="101"/>
      <c r="B718" s="100"/>
      <c r="C718" s="100"/>
      <c r="D718" s="100"/>
      <c r="E718" s="100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5.75" customHeight="1">
      <c r="A719" s="101"/>
      <c r="B719" s="100"/>
      <c r="C719" s="100"/>
      <c r="D719" s="100"/>
      <c r="E719" s="100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5.75" customHeight="1">
      <c r="A720" s="101"/>
      <c r="B720" s="100"/>
      <c r="C720" s="100"/>
      <c r="D720" s="100"/>
      <c r="E720" s="100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5.75" customHeight="1">
      <c r="A721" s="101"/>
      <c r="B721" s="100"/>
      <c r="C721" s="100"/>
      <c r="D721" s="100"/>
      <c r="E721" s="100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5.75" customHeight="1">
      <c r="A722" s="101"/>
      <c r="B722" s="100"/>
      <c r="C722" s="100"/>
      <c r="D722" s="100"/>
      <c r="E722" s="100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5.75" customHeight="1">
      <c r="A723" s="101"/>
      <c r="B723" s="100"/>
      <c r="C723" s="100"/>
      <c r="D723" s="100"/>
      <c r="E723" s="100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5.75" customHeight="1">
      <c r="A724" s="101"/>
      <c r="B724" s="100"/>
      <c r="C724" s="100"/>
      <c r="D724" s="100"/>
      <c r="E724" s="100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5.75" customHeight="1">
      <c r="A725" s="101"/>
      <c r="B725" s="100"/>
      <c r="C725" s="100"/>
      <c r="D725" s="100"/>
      <c r="E725" s="100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5.75" customHeight="1">
      <c r="A726" s="101"/>
      <c r="B726" s="100"/>
      <c r="C726" s="100"/>
      <c r="D726" s="100"/>
      <c r="E726" s="100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5.75" customHeight="1">
      <c r="A727" s="101"/>
      <c r="B727" s="100"/>
      <c r="C727" s="100"/>
      <c r="D727" s="100"/>
      <c r="E727" s="100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5.75" customHeight="1">
      <c r="A728" s="101"/>
      <c r="B728" s="100"/>
      <c r="C728" s="100"/>
      <c r="D728" s="100"/>
      <c r="E728" s="100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5.75" customHeight="1">
      <c r="A729" s="101"/>
      <c r="B729" s="100"/>
      <c r="C729" s="100"/>
      <c r="D729" s="100"/>
      <c r="E729" s="100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5.75" customHeight="1">
      <c r="A730" s="101"/>
      <c r="B730" s="100"/>
      <c r="C730" s="100"/>
      <c r="D730" s="100"/>
      <c r="E730" s="100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5.75" customHeight="1">
      <c r="A731" s="101"/>
      <c r="B731" s="100"/>
      <c r="C731" s="100"/>
      <c r="D731" s="100"/>
      <c r="E731" s="100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5.75" customHeight="1">
      <c r="A732" s="101"/>
      <c r="B732" s="100"/>
      <c r="C732" s="100"/>
      <c r="D732" s="100"/>
      <c r="E732" s="100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5.75" customHeight="1">
      <c r="A733" s="101"/>
      <c r="B733" s="100"/>
      <c r="C733" s="100"/>
      <c r="D733" s="100"/>
      <c r="E733" s="100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5.75" customHeight="1">
      <c r="A734" s="101"/>
      <c r="B734" s="100"/>
      <c r="C734" s="100"/>
      <c r="D734" s="100"/>
      <c r="E734" s="100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5.75" customHeight="1">
      <c r="A735" s="101"/>
      <c r="B735" s="100"/>
      <c r="C735" s="100"/>
      <c r="D735" s="100"/>
      <c r="E735" s="100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5.75" customHeight="1">
      <c r="A736" s="101"/>
      <c r="B736" s="100"/>
      <c r="C736" s="100"/>
      <c r="D736" s="100"/>
      <c r="E736" s="100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5.75" customHeight="1">
      <c r="A737" s="101"/>
      <c r="B737" s="100"/>
      <c r="C737" s="100"/>
      <c r="D737" s="100"/>
      <c r="E737" s="100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5.75" customHeight="1">
      <c r="A738" s="101"/>
      <c r="B738" s="100"/>
      <c r="C738" s="100"/>
      <c r="D738" s="100"/>
      <c r="E738" s="100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5.75" customHeight="1">
      <c r="A739" s="101"/>
      <c r="B739" s="100"/>
      <c r="C739" s="100"/>
      <c r="D739" s="100"/>
      <c r="E739" s="100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5.75" customHeight="1">
      <c r="A740" s="101"/>
      <c r="B740" s="100"/>
      <c r="C740" s="100"/>
      <c r="D740" s="100"/>
      <c r="E740" s="100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5.75" customHeight="1">
      <c r="A741" s="101"/>
      <c r="B741" s="100"/>
      <c r="C741" s="100"/>
      <c r="D741" s="100"/>
      <c r="E741" s="100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5.75" customHeight="1">
      <c r="A742" s="101"/>
      <c r="B742" s="100"/>
      <c r="C742" s="100"/>
      <c r="D742" s="100"/>
      <c r="E742" s="100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5.75" customHeight="1">
      <c r="A743" s="101"/>
      <c r="B743" s="100"/>
      <c r="C743" s="100"/>
      <c r="D743" s="100"/>
      <c r="E743" s="100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5.75" customHeight="1">
      <c r="A744" s="101"/>
      <c r="B744" s="100"/>
      <c r="C744" s="100"/>
      <c r="D744" s="100"/>
      <c r="E744" s="100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5.75" customHeight="1">
      <c r="A745" s="101"/>
      <c r="B745" s="100"/>
      <c r="C745" s="100"/>
      <c r="D745" s="100"/>
      <c r="E745" s="100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5.75" customHeight="1">
      <c r="A746" s="101"/>
      <c r="B746" s="100"/>
      <c r="C746" s="100"/>
      <c r="D746" s="100"/>
      <c r="E746" s="100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5.75" customHeight="1">
      <c r="A747" s="101"/>
      <c r="B747" s="100"/>
      <c r="C747" s="100"/>
      <c r="D747" s="100"/>
      <c r="E747" s="100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5.75" customHeight="1">
      <c r="A748" s="101"/>
      <c r="B748" s="100"/>
      <c r="C748" s="100"/>
      <c r="D748" s="100"/>
      <c r="E748" s="100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5.75" customHeight="1">
      <c r="A749" s="101"/>
      <c r="B749" s="100"/>
      <c r="C749" s="100"/>
      <c r="D749" s="100"/>
      <c r="E749" s="100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5.75" customHeight="1">
      <c r="A750" s="101"/>
      <c r="B750" s="100"/>
      <c r="C750" s="100"/>
      <c r="D750" s="100"/>
      <c r="E750" s="100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5.75" customHeight="1">
      <c r="A751" s="101"/>
      <c r="B751" s="100"/>
      <c r="C751" s="100"/>
      <c r="D751" s="100"/>
      <c r="E751" s="100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5.75" customHeight="1">
      <c r="A752" s="101"/>
      <c r="B752" s="100"/>
      <c r="C752" s="100"/>
      <c r="D752" s="100"/>
      <c r="E752" s="100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5.75" customHeight="1">
      <c r="A753" s="101"/>
      <c r="B753" s="100"/>
      <c r="C753" s="100"/>
      <c r="D753" s="100"/>
      <c r="E753" s="100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5.75" customHeight="1">
      <c r="A754" s="101"/>
      <c r="B754" s="100"/>
      <c r="C754" s="100"/>
      <c r="D754" s="100"/>
      <c r="E754" s="100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5.75" customHeight="1">
      <c r="A755" s="101"/>
      <c r="B755" s="100"/>
      <c r="C755" s="100"/>
      <c r="D755" s="100"/>
      <c r="E755" s="100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5.75" customHeight="1">
      <c r="A756" s="101"/>
      <c r="B756" s="100"/>
      <c r="C756" s="100"/>
      <c r="D756" s="100"/>
      <c r="E756" s="100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5.75" customHeight="1">
      <c r="A757" s="101"/>
      <c r="B757" s="100"/>
      <c r="C757" s="100"/>
      <c r="D757" s="100"/>
      <c r="E757" s="100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5.75" customHeight="1">
      <c r="A758" s="101"/>
      <c r="B758" s="100"/>
      <c r="C758" s="100"/>
      <c r="D758" s="100"/>
      <c r="E758" s="100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5.75" customHeight="1">
      <c r="A759" s="101"/>
      <c r="B759" s="100"/>
      <c r="C759" s="100"/>
      <c r="D759" s="100"/>
      <c r="E759" s="100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5.75" customHeight="1">
      <c r="A760" s="101"/>
      <c r="B760" s="100"/>
      <c r="C760" s="100"/>
      <c r="D760" s="100"/>
      <c r="E760" s="100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5.75" customHeight="1">
      <c r="A761" s="101"/>
      <c r="B761" s="100"/>
      <c r="C761" s="100"/>
      <c r="D761" s="100"/>
      <c r="E761" s="100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5.75" customHeight="1">
      <c r="A762" s="101"/>
      <c r="B762" s="100"/>
      <c r="C762" s="100"/>
      <c r="D762" s="100"/>
      <c r="E762" s="100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5.75" customHeight="1">
      <c r="A763" s="101"/>
      <c r="B763" s="100"/>
      <c r="C763" s="100"/>
      <c r="D763" s="100"/>
      <c r="E763" s="100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5.75" customHeight="1">
      <c r="A764" s="101"/>
      <c r="B764" s="100"/>
      <c r="C764" s="100"/>
      <c r="D764" s="100"/>
      <c r="E764" s="100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5.75" customHeight="1">
      <c r="A765" s="101"/>
      <c r="B765" s="100"/>
      <c r="C765" s="100"/>
      <c r="D765" s="100"/>
      <c r="E765" s="100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5.75" customHeight="1">
      <c r="A766" s="101"/>
      <c r="B766" s="100"/>
      <c r="C766" s="100"/>
      <c r="D766" s="100"/>
      <c r="E766" s="100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5.75" customHeight="1">
      <c r="A767" s="101"/>
      <c r="B767" s="100"/>
      <c r="C767" s="100"/>
      <c r="D767" s="100"/>
      <c r="E767" s="100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5.75" customHeight="1">
      <c r="A768" s="101"/>
      <c r="B768" s="100"/>
      <c r="C768" s="100"/>
      <c r="D768" s="100"/>
      <c r="E768" s="100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5.75" customHeight="1">
      <c r="A769" s="101"/>
      <c r="B769" s="100"/>
      <c r="C769" s="100"/>
      <c r="D769" s="100"/>
      <c r="E769" s="100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5.75" customHeight="1">
      <c r="A770" s="101"/>
      <c r="B770" s="100"/>
      <c r="C770" s="100"/>
      <c r="D770" s="100"/>
      <c r="E770" s="100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5.75" customHeight="1">
      <c r="A771" s="101"/>
      <c r="B771" s="100"/>
      <c r="C771" s="100"/>
      <c r="D771" s="100"/>
      <c r="E771" s="100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5.75" customHeight="1">
      <c r="A772" s="101"/>
      <c r="B772" s="100"/>
      <c r="C772" s="100"/>
      <c r="D772" s="100"/>
      <c r="E772" s="100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5.75" customHeight="1">
      <c r="A773" s="101"/>
      <c r="B773" s="100"/>
      <c r="C773" s="100"/>
      <c r="D773" s="100"/>
      <c r="E773" s="100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5.75" customHeight="1">
      <c r="A774" s="101"/>
      <c r="B774" s="100"/>
      <c r="C774" s="100"/>
      <c r="D774" s="100"/>
      <c r="E774" s="100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5.75" customHeight="1">
      <c r="A775" s="101"/>
      <c r="B775" s="100"/>
      <c r="C775" s="100"/>
      <c r="D775" s="100"/>
      <c r="E775" s="100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5.75" customHeight="1">
      <c r="A776" s="101"/>
      <c r="B776" s="100"/>
      <c r="C776" s="100"/>
      <c r="D776" s="100"/>
      <c r="E776" s="100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5.75" customHeight="1">
      <c r="A777" s="101"/>
      <c r="B777" s="100"/>
      <c r="C777" s="100"/>
      <c r="D777" s="100"/>
      <c r="E777" s="100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5.75" customHeight="1">
      <c r="A778" s="101"/>
      <c r="B778" s="100"/>
      <c r="C778" s="100"/>
      <c r="D778" s="100"/>
      <c r="E778" s="100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5.75" customHeight="1">
      <c r="A779" s="101"/>
      <c r="B779" s="100"/>
      <c r="C779" s="100"/>
      <c r="D779" s="100"/>
      <c r="E779" s="100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5.75" customHeight="1">
      <c r="A780" s="101"/>
      <c r="B780" s="100"/>
      <c r="C780" s="100"/>
      <c r="D780" s="100"/>
      <c r="E780" s="100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5.75" customHeight="1">
      <c r="A781" s="101"/>
      <c r="B781" s="100"/>
      <c r="C781" s="100"/>
      <c r="D781" s="100"/>
      <c r="E781" s="100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5.75" customHeight="1">
      <c r="A782" s="101"/>
      <c r="B782" s="100"/>
      <c r="C782" s="100"/>
      <c r="D782" s="100"/>
      <c r="E782" s="100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5.75" customHeight="1">
      <c r="A783" s="101"/>
      <c r="B783" s="100"/>
      <c r="C783" s="100"/>
      <c r="D783" s="100"/>
      <c r="E783" s="100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5.75" customHeight="1">
      <c r="A784" s="101"/>
      <c r="B784" s="100"/>
      <c r="C784" s="100"/>
      <c r="D784" s="100"/>
      <c r="E784" s="100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5.75" customHeight="1">
      <c r="A785" s="101"/>
      <c r="B785" s="100"/>
      <c r="C785" s="100"/>
      <c r="D785" s="100"/>
      <c r="E785" s="100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5.75" customHeight="1">
      <c r="A786" s="101"/>
      <c r="B786" s="100"/>
      <c r="C786" s="100"/>
      <c r="D786" s="100"/>
      <c r="E786" s="100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5.75" customHeight="1">
      <c r="A787" s="101"/>
      <c r="B787" s="100"/>
      <c r="C787" s="100"/>
      <c r="D787" s="100"/>
      <c r="E787" s="100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5.75" customHeight="1">
      <c r="A788" s="101"/>
      <c r="B788" s="100"/>
      <c r="C788" s="100"/>
      <c r="D788" s="100"/>
      <c r="E788" s="100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5.75" customHeight="1">
      <c r="A789" s="101"/>
      <c r="B789" s="100"/>
      <c r="C789" s="100"/>
      <c r="D789" s="100"/>
      <c r="E789" s="100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5.75" customHeight="1">
      <c r="A790" s="101"/>
      <c r="B790" s="100"/>
      <c r="C790" s="100"/>
      <c r="D790" s="100"/>
      <c r="E790" s="100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5.75" customHeight="1">
      <c r="A791" s="101"/>
      <c r="B791" s="100"/>
      <c r="C791" s="100"/>
      <c r="D791" s="100"/>
      <c r="E791" s="100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5.75" customHeight="1">
      <c r="A792" s="101"/>
      <c r="B792" s="100"/>
      <c r="C792" s="100"/>
      <c r="D792" s="100"/>
      <c r="E792" s="100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5.75" customHeight="1">
      <c r="A793" s="101"/>
      <c r="B793" s="100"/>
      <c r="C793" s="100"/>
      <c r="D793" s="100"/>
      <c r="E793" s="100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5.75" customHeight="1">
      <c r="A794" s="101"/>
      <c r="B794" s="100"/>
      <c r="C794" s="100"/>
      <c r="D794" s="100"/>
      <c r="E794" s="100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5.75" customHeight="1">
      <c r="A795" s="101"/>
      <c r="B795" s="100"/>
      <c r="C795" s="100"/>
      <c r="D795" s="100"/>
      <c r="E795" s="100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5.75" customHeight="1">
      <c r="A796" s="101"/>
      <c r="B796" s="100"/>
      <c r="C796" s="100"/>
      <c r="D796" s="100"/>
      <c r="E796" s="100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5.75" customHeight="1">
      <c r="A797" s="101"/>
      <c r="B797" s="100"/>
      <c r="C797" s="100"/>
      <c r="D797" s="100"/>
      <c r="E797" s="100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5.75" customHeight="1">
      <c r="A798" s="101"/>
      <c r="B798" s="100"/>
      <c r="C798" s="100"/>
      <c r="D798" s="100"/>
      <c r="E798" s="100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5.75" customHeight="1">
      <c r="A799" s="101"/>
      <c r="B799" s="100"/>
      <c r="C799" s="100"/>
      <c r="D799" s="100"/>
      <c r="E799" s="100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5.75" customHeight="1">
      <c r="A800" s="101"/>
      <c r="B800" s="100"/>
      <c r="C800" s="100"/>
      <c r="D800" s="100"/>
      <c r="E800" s="100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5.75" customHeight="1">
      <c r="A801" s="101"/>
      <c r="B801" s="100"/>
      <c r="C801" s="100"/>
      <c r="D801" s="100"/>
      <c r="E801" s="100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5.75" customHeight="1">
      <c r="A802" s="101"/>
      <c r="B802" s="100"/>
      <c r="C802" s="100"/>
      <c r="D802" s="100"/>
      <c r="E802" s="100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5.75" customHeight="1">
      <c r="A803" s="101"/>
      <c r="B803" s="100"/>
      <c r="C803" s="100"/>
      <c r="D803" s="100"/>
      <c r="E803" s="100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5.75" customHeight="1">
      <c r="A804" s="101"/>
      <c r="B804" s="100"/>
      <c r="C804" s="100"/>
      <c r="D804" s="100"/>
      <c r="E804" s="100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5.75" customHeight="1">
      <c r="A805" s="101"/>
      <c r="B805" s="100"/>
      <c r="C805" s="100"/>
      <c r="D805" s="100"/>
      <c r="E805" s="100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5.75" customHeight="1">
      <c r="A806" s="101"/>
      <c r="B806" s="100"/>
      <c r="C806" s="100"/>
      <c r="D806" s="100"/>
      <c r="E806" s="100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5.75" customHeight="1">
      <c r="A807" s="101"/>
      <c r="B807" s="100"/>
      <c r="C807" s="100"/>
      <c r="D807" s="100"/>
      <c r="E807" s="100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5.75" customHeight="1">
      <c r="A808" s="101"/>
      <c r="B808" s="100"/>
      <c r="C808" s="100"/>
      <c r="D808" s="100"/>
      <c r="E808" s="100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5.75" customHeight="1">
      <c r="A809" s="101"/>
      <c r="B809" s="100"/>
      <c r="C809" s="100"/>
      <c r="D809" s="100"/>
      <c r="E809" s="100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5.75" customHeight="1">
      <c r="A810" s="101"/>
      <c r="B810" s="100"/>
      <c r="C810" s="100"/>
      <c r="D810" s="100"/>
      <c r="E810" s="100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5.75" customHeight="1">
      <c r="A811" s="101"/>
      <c r="B811" s="100"/>
      <c r="C811" s="100"/>
      <c r="D811" s="100"/>
      <c r="E811" s="100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5.75" customHeight="1">
      <c r="A812" s="101"/>
      <c r="B812" s="100"/>
      <c r="C812" s="100"/>
      <c r="D812" s="100"/>
      <c r="E812" s="100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5.75" customHeight="1">
      <c r="A813" s="101"/>
      <c r="B813" s="100"/>
      <c r="C813" s="100"/>
      <c r="D813" s="100"/>
      <c r="E813" s="100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5.75" customHeight="1">
      <c r="A814" s="101"/>
      <c r="B814" s="100"/>
      <c r="C814" s="100"/>
      <c r="D814" s="100"/>
      <c r="E814" s="100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5.75" customHeight="1">
      <c r="A815" s="101"/>
      <c r="B815" s="100"/>
      <c r="C815" s="100"/>
      <c r="D815" s="100"/>
      <c r="E815" s="100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5.75" customHeight="1">
      <c r="A816" s="101"/>
      <c r="B816" s="100"/>
      <c r="C816" s="100"/>
      <c r="D816" s="100"/>
      <c r="E816" s="100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5.75" customHeight="1">
      <c r="A817" s="101"/>
      <c r="B817" s="100"/>
      <c r="C817" s="100"/>
      <c r="D817" s="100"/>
      <c r="E817" s="100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5.75" customHeight="1">
      <c r="A818" s="101"/>
      <c r="B818" s="100"/>
      <c r="C818" s="100"/>
      <c r="D818" s="100"/>
      <c r="E818" s="100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5.75" customHeight="1">
      <c r="A819" s="101"/>
      <c r="B819" s="100"/>
      <c r="C819" s="100"/>
      <c r="D819" s="100"/>
      <c r="E819" s="100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5.75" customHeight="1">
      <c r="A820" s="101"/>
      <c r="B820" s="100"/>
      <c r="C820" s="100"/>
      <c r="D820" s="100"/>
      <c r="E820" s="100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5.75" customHeight="1">
      <c r="A821" s="101"/>
      <c r="B821" s="100"/>
      <c r="C821" s="100"/>
      <c r="D821" s="100"/>
      <c r="E821" s="100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5.75" customHeight="1">
      <c r="A822" s="101"/>
      <c r="B822" s="100"/>
      <c r="C822" s="100"/>
      <c r="D822" s="100"/>
      <c r="E822" s="100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5.75" customHeight="1">
      <c r="A823" s="101"/>
      <c r="B823" s="100"/>
      <c r="C823" s="100"/>
      <c r="D823" s="100"/>
      <c r="E823" s="100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5.75" customHeight="1">
      <c r="A824" s="101"/>
      <c r="B824" s="100"/>
      <c r="C824" s="100"/>
      <c r="D824" s="100"/>
      <c r="E824" s="100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5.75" customHeight="1">
      <c r="A825" s="101"/>
      <c r="B825" s="100"/>
      <c r="C825" s="100"/>
      <c r="D825" s="100"/>
      <c r="E825" s="100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5.75" customHeight="1">
      <c r="A826" s="101"/>
      <c r="B826" s="100"/>
      <c r="C826" s="100"/>
      <c r="D826" s="100"/>
      <c r="E826" s="100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5.75" customHeight="1">
      <c r="A827" s="101"/>
      <c r="B827" s="100"/>
      <c r="C827" s="100"/>
      <c r="D827" s="100"/>
      <c r="E827" s="100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5.75" customHeight="1">
      <c r="A828" s="101"/>
      <c r="B828" s="100"/>
      <c r="C828" s="100"/>
      <c r="D828" s="100"/>
      <c r="E828" s="100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5.75" customHeight="1">
      <c r="A829" s="101"/>
      <c r="B829" s="100"/>
      <c r="C829" s="100"/>
      <c r="D829" s="100"/>
      <c r="E829" s="100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5.75" customHeight="1">
      <c r="A830" s="101"/>
      <c r="B830" s="100"/>
      <c r="C830" s="100"/>
      <c r="D830" s="100"/>
      <c r="E830" s="100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5.75" customHeight="1">
      <c r="A831" s="101"/>
      <c r="B831" s="100"/>
      <c r="C831" s="100"/>
      <c r="D831" s="100"/>
      <c r="E831" s="100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5.75" customHeight="1">
      <c r="A832" s="101"/>
      <c r="B832" s="100"/>
      <c r="C832" s="100"/>
      <c r="D832" s="100"/>
      <c r="E832" s="100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5.75" customHeight="1">
      <c r="A833" s="101"/>
      <c r="B833" s="100"/>
      <c r="C833" s="100"/>
      <c r="D833" s="100"/>
      <c r="E833" s="100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5.75" customHeight="1">
      <c r="A834" s="101"/>
      <c r="B834" s="100"/>
      <c r="C834" s="100"/>
      <c r="D834" s="100"/>
      <c r="E834" s="100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5.75" customHeight="1">
      <c r="A835" s="101"/>
      <c r="B835" s="100"/>
      <c r="C835" s="100"/>
      <c r="D835" s="100"/>
      <c r="E835" s="100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5.75" customHeight="1">
      <c r="A836" s="101"/>
      <c r="B836" s="100"/>
      <c r="C836" s="100"/>
      <c r="D836" s="100"/>
      <c r="E836" s="100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5.75" customHeight="1">
      <c r="A837" s="101"/>
      <c r="B837" s="100"/>
      <c r="C837" s="100"/>
      <c r="D837" s="100"/>
      <c r="E837" s="100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5.75" customHeight="1">
      <c r="A838" s="101"/>
      <c r="B838" s="100"/>
      <c r="C838" s="100"/>
      <c r="D838" s="100"/>
      <c r="E838" s="100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5.75" customHeight="1">
      <c r="A839" s="101"/>
      <c r="B839" s="100"/>
      <c r="C839" s="100"/>
      <c r="D839" s="100"/>
      <c r="E839" s="100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5.75" customHeight="1">
      <c r="A840" s="101"/>
      <c r="B840" s="100"/>
      <c r="C840" s="100"/>
      <c r="D840" s="100"/>
      <c r="E840" s="100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5.75" customHeight="1">
      <c r="A841" s="101"/>
      <c r="B841" s="100"/>
      <c r="C841" s="100"/>
      <c r="D841" s="100"/>
      <c r="E841" s="100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5.75" customHeight="1">
      <c r="A842" s="101"/>
      <c r="B842" s="100"/>
      <c r="C842" s="100"/>
      <c r="D842" s="100"/>
      <c r="E842" s="100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5.75" customHeight="1">
      <c r="A843" s="101"/>
      <c r="B843" s="100"/>
      <c r="C843" s="100"/>
      <c r="D843" s="100"/>
      <c r="E843" s="100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5.75" customHeight="1">
      <c r="A844" s="101"/>
      <c r="B844" s="100"/>
      <c r="C844" s="100"/>
      <c r="D844" s="100"/>
      <c r="E844" s="100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5.75" customHeight="1">
      <c r="A845" s="101"/>
      <c r="B845" s="100"/>
      <c r="C845" s="100"/>
      <c r="D845" s="100"/>
      <c r="E845" s="100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5.75" customHeight="1">
      <c r="A846" s="101"/>
      <c r="B846" s="100"/>
      <c r="C846" s="100"/>
      <c r="D846" s="100"/>
      <c r="E846" s="100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5.75" customHeight="1">
      <c r="A847" s="101"/>
      <c r="B847" s="100"/>
      <c r="C847" s="100"/>
      <c r="D847" s="100"/>
      <c r="E847" s="100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5.75" customHeight="1">
      <c r="A848" s="101"/>
      <c r="B848" s="100"/>
      <c r="C848" s="100"/>
      <c r="D848" s="100"/>
      <c r="E848" s="100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5.75" customHeight="1">
      <c r="A849" s="101"/>
      <c r="B849" s="100"/>
      <c r="C849" s="100"/>
      <c r="D849" s="100"/>
      <c r="E849" s="100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5.75" customHeight="1">
      <c r="A850" s="101"/>
      <c r="B850" s="100"/>
      <c r="C850" s="100"/>
      <c r="D850" s="100"/>
      <c r="E850" s="100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5.75" customHeight="1">
      <c r="A851" s="101"/>
      <c r="B851" s="100"/>
      <c r="C851" s="100"/>
      <c r="D851" s="100"/>
      <c r="E851" s="100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5.75" customHeight="1">
      <c r="A852" s="101"/>
      <c r="B852" s="100"/>
      <c r="C852" s="100"/>
      <c r="D852" s="100"/>
      <c r="E852" s="100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5.75" customHeight="1">
      <c r="A853" s="101"/>
      <c r="B853" s="100"/>
      <c r="C853" s="100"/>
      <c r="D853" s="100"/>
      <c r="E853" s="100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5.75" customHeight="1">
      <c r="A854" s="101"/>
      <c r="B854" s="100"/>
      <c r="C854" s="100"/>
      <c r="D854" s="100"/>
      <c r="E854" s="100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5.75" customHeight="1">
      <c r="A855" s="101"/>
      <c r="B855" s="100"/>
      <c r="C855" s="100"/>
      <c r="D855" s="100"/>
      <c r="E855" s="100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5.75" customHeight="1">
      <c r="A856" s="101"/>
      <c r="B856" s="100"/>
      <c r="C856" s="100"/>
      <c r="D856" s="100"/>
      <c r="E856" s="100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5.75" customHeight="1">
      <c r="A857" s="101"/>
      <c r="B857" s="100"/>
      <c r="C857" s="100"/>
      <c r="D857" s="100"/>
      <c r="E857" s="100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5.75" customHeight="1">
      <c r="A858" s="101"/>
      <c r="B858" s="100"/>
      <c r="C858" s="100"/>
      <c r="D858" s="100"/>
      <c r="E858" s="100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5.75" customHeight="1">
      <c r="A859" s="101"/>
      <c r="B859" s="100"/>
      <c r="C859" s="100"/>
      <c r="D859" s="100"/>
      <c r="E859" s="100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5.75" customHeight="1">
      <c r="A860" s="101"/>
      <c r="B860" s="100"/>
      <c r="C860" s="100"/>
      <c r="D860" s="100"/>
      <c r="E860" s="100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5.75" customHeight="1">
      <c r="A861" s="101"/>
      <c r="B861" s="100"/>
      <c r="C861" s="100"/>
      <c r="D861" s="100"/>
      <c r="E861" s="100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5.75" customHeight="1">
      <c r="A862" s="101"/>
      <c r="B862" s="100"/>
      <c r="C862" s="100"/>
      <c r="D862" s="100"/>
      <c r="E862" s="100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5.75" customHeight="1">
      <c r="A863" s="101"/>
      <c r="B863" s="100"/>
      <c r="C863" s="100"/>
      <c r="D863" s="100"/>
      <c r="E863" s="100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5.75" customHeight="1">
      <c r="A864" s="101"/>
      <c r="B864" s="100"/>
      <c r="C864" s="100"/>
      <c r="D864" s="100"/>
      <c r="E864" s="100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5.75" customHeight="1">
      <c r="A865" s="101"/>
      <c r="B865" s="100"/>
      <c r="C865" s="100"/>
      <c r="D865" s="100"/>
      <c r="E865" s="100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5.75" customHeight="1">
      <c r="A866" s="101"/>
      <c r="B866" s="100"/>
      <c r="C866" s="100"/>
      <c r="D866" s="100"/>
      <c r="E866" s="100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5.75" customHeight="1">
      <c r="A867" s="101"/>
      <c r="B867" s="100"/>
      <c r="C867" s="100"/>
      <c r="D867" s="100"/>
      <c r="E867" s="100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5.75" customHeight="1">
      <c r="A868" s="101"/>
      <c r="B868" s="100"/>
      <c r="C868" s="100"/>
      <c r="D868" s="100"/>
      <c r="E868" s="100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5.75" customHeight="1">
      <c r="A869" s="101"/>
      <c r="B869" s="100"/>
      <c r="C869" s="100"/>
      <c r="D869" s="100"/>
      <c r="E869" s="100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5.75" customHeight="1">
      <c r="A870" s="101"/>
      <c r="B870" s="100"/>
      <c r="C870" s="100"/>
      <c r="D870" s="100"/>
      <c r="E870" s="100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5.75" customHeight="1">
      <c r="A871" s="101"/>
      <c r="B871" s="100"/>
      <c r="C871" s="100"/>
      <c r="D871" s="100"/>
      <c r="E871" s="100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5.75" customHeight="1">
      <c r="A872" s="101"/>
      <c r="B872" s="100"/>
      <c r="C872" s="100"/>
      <c r="D872" s="100"/>
      <c r="E872" s="100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5.75" customHeight="1">
      <c r="A873" s="101"/>
      <c r="B873" s="100"/>
      <c r="C873" s="100"/>
      <c r="D873" s="100"/>
      <c r="E873" s="100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5.75" customHeight="1">
      <c r="A874" s="101"/>
      <c r="B874" s="100"/>
      <c r="C874" s="100"/>
      <c r="D874" s="100"/>
      <c r="E874" s="100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5.75" customHeight="1">
      <c r="A875" s="101"/>
      <c r="B875" s="100"/>
      <c r="C875" s="100"/>
      <c r="D875" s="100"/>
      <c r="E875" s="100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5.75" customHeight="1">
      <c r="A876" s="101"/>
      <c r="B876" s="100"/>
      <c r="C876" s="100"/>
      <c r="D876" s="100"/>
      <c r="E876" s="100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5.75" customHeight="1">
      <c r="A877" s="101"/>
      <c r="B877" s="100"/>
      <c r="C877" s="100"/>
      <c r="D877" s="100"/>
      <c r="E877" s="100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5.75" customHeight="1">
      <c r="A878" s="101"/>
      <c r="B878" s="100"/>
      <c r="C878" s="100"/>
      <c r="D878" s="100"/>
      <c r="E878" s="100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5.75" customHeight="1">
      <c r="A879" s="101"/>
      <c r="B879" s="100"/>
      <c r="C879" s="100"/>
      <c r="D879" s="100"/>
      <c r="E879" s="100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5.75" customHeight="1">
      <c r="A880" s="101"/>
      <c r="B880" s="100"/>
      <c r="C880" s="100"/>
      <c r="D880" s="100"/>
      <c r="E880" s="100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5.75" customHeight="1">
      <c r="A881" s="101"/>
      <c r="B881" s="100"/>
      <c r="C881" s="100"/>
      <c r="D881" s="100"/>
      <c r="E881" s="100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5.75" customHeight="1">
      <c r="A882" s="101"/>
      <c r="B882" s="100"/>
      <c r="C882" s="100"/>
      <c r="D882" s="100"/>
      <c r="E882" s="100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5.75" customHeight="1">
      <c r="A883" s="101"/>
      <c r="B883" s="100"/>
      <c r="C883" s="100"/>
      <c r="D883" s="100"/>
      <c r="E883" s="100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5.75" customHeight="1">
      <c r="A884" s="101"/>
      <c r="B884" s="100"/>
      <c r="C884" s="100"/>
      <c r="D884" s="100"/>
      <c r="E884" s="100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5.75" customHeight="1">
      <c r="A885" s="101"/>
      <c r="B885" s="100"/>
      <c r="C885" s="100"/>
      <c r="D885" s="100"/>
      <c r="E885" s="100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5.75" customHeight="1">
      <c r="A886" s="101"/>
      <c r="B886" s="100"/>
      <c r="C886" s="100"/>
      <c r="D886" s="100"/>
      <c r="E886" s="100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5.75" customHeight="1">
      <c r="A887" s="101"/>
      <c r="B887" s="100"/>
      <c r="C887" s="100"/>
      <c r="D887" s="100"/>
      <c r="E887" s="100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5.75" customHeight="1">
      <c r="A888" s="101"/>
      <c r="B888" s="100"/>
      <c r="C888" s="100"/>
      <c r="D888" s="100"/>
      <c r="E888" s="100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5.75" customHeight="1">
      <c r="A889" s="101"/>
      <c r="B889" s="100"/>
      <c r="C889" s="100"/>
      <c r="D889" s="100"/>
      <c r="E889" s="100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5.75" customHeight="1">
      <c r="A890" s="101"/>
      <c r="B890" s="100"/>
      <c r="C890" s="100"/>
      <c r="D890" s="100"/>
      <c r="E890" s="100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5.75" customHeight="1">
      <c r="A891" s="101"/>
      <c r="B891" s="100"/>
      <c r="C891" s="100"/>
      <c r="D891" s="100"/>
      <c r="E891" s="100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5.75" customHeight="1">
      <c r="A892" s="101"/>
      <c r="B892" s="100"/>
      <c r="C892" s="100"/>
      <c r="D892" s="100"/>
      <c r="E892" s="100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5.75" customHeight="1">
      <c r="A893" s="101"/>
      <c r="B893" s="100"/>
      <c r="C893" s="100"/>
      <c r="D893" s="100"/>
      <c r="E893" s="100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5.75" customHeight="1">
      <c r="A894" s="101"/>
      <c r="B894" s="100"/>
      <c r="C894" s="100"/>
      <c r="D894" s="100"/>
      <c r="E894" s="100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5.75" customHeight="1">
      <c r="A895" s="101"/>
      <c r="B895" s="100"/>
      <c r="C895" s="100"/>
      <c r="D895" s="100"/>
      <c r="E895" s="100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5.75" customHeight="1">
      <c r="A896" s="101"/>
      <c r="B896" s="100"/>
      <c r="C896" s="100"/>
      <c r="D896" s="100"/>
      <c r="E896" s="100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5.75" customHeight="1">
      <c r="A897" s="101"/>
      <c r="B897" s="100"/>
      <c r="C897" s="100"/>
      <c r="D897" s="100"/>
      <c r="E897" s="100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5.75" customHeight="1">
      <c r="A898" s="101"/>
      <c r="B898" s="100"/>
      <c r="C898" s="100"/>
      <c r="D898" s="100"/>
      <c r="E898" s="100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5.75" customHeight="1">
      <c r="A899" s="101"/>
      <c r="B899" s="100"/>
      <c r="C899" s="100"/>
      <c r="D899" s="100"/>
      <c r="E899" s="100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5.75" customHeight="1">
      <c r="A900" s="101"/>
      <c r="B900" s="100"/>
      <c r="C900" s="100"/>
      <c r="D900" s="100"/>
      <c r="E900" s="100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5.75" customHeight="1">
      <c r="A901" s="101"/>
      <c r="B901" s="100"/>
      <c r="C901" s="100"/>
      <c r="D901" s="100"/>
      <c r="E901" s="100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5.75" customHeight="1">
      <c r="A902" s="101"/>
      <c r="B902" s="100"/>
      <c r="C902" s="100"/>
      <c r="D902" s="100"/>
      <c r="E902" s="100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5.75" customHeight="1">
      <c r="A903" s="101"/>
      <c r="B903" s="100"/>
      <c r="C903" s="100"/>
      <c r="D903" s="100"/>
      <c r="E903" s="100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5.75" customHeight="1">
      <c r="A904" s="101"/>
      <c r="B904" s="100"/>
      <c r="C904" s="100"/>
      <c r="D904" s="100"/>
      <c r="E904" s="100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5.75" customHeight="1">
      <c r="A905" s="101"/>
      <c r="B905" s="100"/>
      <c r="C905" s="100"/>
      <c r="D905" s="100"/>
      <c r="E905" s="100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5.75" customHeight="1">
      <c r="A906" s="101"/>
      <c r="B906" s="100"/>
      <c r="C906" s="100"/>
      <c r="D906" s="100"/>
      <c r="E906" s="100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5.75" customHeight="1">
      <c r="A907" s="101"/>
      <c r="B907" s="100"/>
      <c r="C907" s="100"/>
      <c r="D907" s="100"/>
      <c r="E907" s="100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5.75" customHeight="1">
      <c r="A908" s="101"/>
      <c r="B908" s="100"/>
      <c r="C908" s="100"/>
      <c r="D908" s="100"/>
      <c r="E908" s="100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5.75" customHeight="1">
      <c r="A909" s="101"/>
      <c r="B909" s="100"/>
      <c r="C909" s="100"/>
      <c r="D909" s="100"/>
      <c r="E909" s="100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5.75" customHeight="1">
      <c r="A910" s="101"/>
      <c r="B910" s="100"/>
      <c r="C910" s="100"/>
      <c r="D910" s="100"/>
      <c r="E910" s="100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5.75" customHeight="1">
      <c r="A911" s="101"/>
      <c r="B911" s="100"/>
      <c r="C911" s="100"/>
      <c r="D911" s="100"/>
      <c r="E911" s="100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5.75" customHeight="1">
      <c r="A912" s="101"/>
      <c r="B912" s="100"/>
      <c r="C912" s="100"/>
      <c r="D912" s="100"/>
      <c r="E912" s="100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5.75" customHeight="1">
      <c r="A913" s="101"/>
      <c r="B913" s="100"/>
      <c r="C913" s="100"/>
      <c r="D913" s="100"/>
      <c r="E913" s="100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5.75" customHeight="1">
      <c r="A914" s="101"/>
      <c r="B914" s="100"/>
      <c r="C914" s="100"/>
      <c r="D914" s="100"/>
      <c r="E914" s="100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5.75" customHeight="1">
      <c r="A915" s="101"/>
      <c r="B915" s="100"/>
      <c r="C915" s="100"/>
      <c r="D915" s="100"/>
      <c r="E915" s="100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5.75" customHeight="1">
      <c r="A916" s="101"/>
      <c r="B916" s="100"/>
      <c r="C916" s="100"/>
      <c r="D916" s="100"/>
      <c r="E916" s="100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5.75" customHeight="1">
      <c r="A917" s="101"/>
      <c r="B917" s="100"/>
      <c r="C917" s="100"/>
      <c r="D917" s="100"/>
      <c r="E917" s="100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5.75" customHeight="1">
      <c r="A918" s="101"/>
      <c r="B918" s="100"/>
      <c r="C918" s="100"/>
      <c r="D918" s="100"/>
      <c r="E918" s="100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5.75" customHeight="1">
      <c r="A919" s="101"/>
      <c r="B919" s="100"/>
      <c r="C919" s="100"/>
      <c r="D919" s="100"/>
      <c r="E919" s="100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5.75" customHeight="1">
      <c r="A920" s="101"/>
      <c r="B920" s="100"/>
      <c r="C920" s="100"/>
      <c r="D920" s="100"/>
      <c r="E920" s="100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5.75" customHeight="1">
      <c r="A921" s="101"/>
      <c r="B921" s="100"/>
      <c r="C921" s="100"/>
      <c r="D921" s="100"/>
      <c r="E921" s="100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5.75" customHeight="1">
      <c r="A922" s="101"/>
      <c r="B922" s="100"/>
      <c r="C922" s="100"/>
      <c r="D922" s="100"/>
      <c r="E922" s="100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5.75" customHeight="1">
      <c r="A923" s="101"/>
      <c r="B923" s="100"/>
      <c r="C923" s="100"/>
      <c r="D923" s="100"/>
      <c r="E923" s="100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5.75" customHeight="1">
      <c r="A924" s="101"/>
      <c r="B924" s="100"/>
      <c r="C924" s="100"/>
      <c r="D924" s="100"/>
      <c r="E924" s="100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5.75" customHeight="1">
      <c r="A925" s="101"/>
      <c r="B925" s="100"/>
      <c r="C925" s="100"/>
      <c r="D925" s="100"/>
      <c r="E925" s="100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5.75" customHeight="1">
      <c r="A926" s="101"/>
      <c r="B926" s="100"/>
      <c r="C926" s="100"/>
      <c r="D926" s="100"/>
      <c r="E926" s="100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5.75" customHeight="1">
      <c r="A927" s="101"/>
      <c r="B927" s="100"/>
      <c r="C927" s="100"/>
      <c r="D927" s="100"/>
      <c r="E927" s="100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5.75" customHeight="1">
      <c r="A928" s="101"/>
      <c r="B928" s="100"/>
      <c r="C928" s="100"/>
      <c r="D928" s="100"/>
      <c r="E928" s="100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5.75" customHeight="1">
      <c r="A929" s="101"/>
      <c r="B929" s="100"/>
      <c r="C929" s="100"/>
      <c r="D929" s="100"/>
      <c r="E929" s="100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5.75" customHeight="1">
      <c r="A930" s="101"/>
      <c r="B930" s="100"/>
      <c r="C930" s="100"/>
      <c r="D930" s="100"/>
      <c r="E930" s="100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5.75" customHeight="1">
      <c r="A931" s="101"/>
      <c r="B931" s="100"/>
      <c r="C931" s="100"/>
      <c r="D931" s="100"/>
      <c r="E931" s="100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5.75" customHeight="1">
      <c r="A932" s="101"/>
      <c r="B932" s="100"/>
      <c r="C932" s="100"/>
      <c r="D932" s="100"/>
      <c r="E932" s="100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5.75" customHeight="1">
      <c r="A933" s="101"/>
      <c r="B933" s="100"/>
      <c r="C933" s="100"/>
      <c r="D933" s="100"/>
      <c r="E933" s="100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5.75" customHeight="1">
      <c r="A934" s="101"/>
      <c r="B934" s="100"/>
      <c r="C934" s="100"/>
      <c r="D934" s="100"/>
      <c r="E934" s="100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5.75" customHeight="1">
      <c r="A935" s="101"/>
      <c r="B935" s="100"/>
      <c r="C935" s="100"/>
      <c r="D935" s="100"/>
      <c r="E935" s="100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5.75" customHeight="1">
      <c r="A936" s="101"/>
      <c r="B936" s="100"/>
      <c r="C936" s="100"/>
      <c r="D936" s="100"/>
      <c r="E936" s="100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5.75" customHeight="1">
      <c r="A937" s="101"/>
      <c r="B937" s="100"/>
      <c r="C937" s="100"/>
      <c r="D937" s="100"/>
      <c r="E937" s="100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5.75" customHeight="1">
      <c r="A938" s="101"/>
      <c r="B938" s="100"/>
      <c r="C938" s="100"/>
      <c r="D938" s="100"/>
      <c r="E938" s="100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5.75" customHeight="1">
      <c r="A939" s="101"/>
      <c r="B939" s="100"/>
      <c r="C939" s="100"/>
      <c r="D939" s="100"/>
      <c r="E939" s="100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5.75" customHeight="1">
      <c r="A940" s="101"/>
      <c r="B940" s="100"/>
      <c r="C940" s="100"/>
      <c r="D940" s="100"/>
      <c r="E940" s="100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5.75" customHeight="1">
      <c r="A941" s="101"/>
      <c r="B941" s="100"/>
      <c r="C941" s="100"/>
      <c r="D941" s="100"/>
      <c r="E941" s="100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5.75" customHeight="1">
      <c r="A942" s="101"/>
      <c r="B942" s="100"/>
      <c r="C942" s="100"/>
      <c r="D942" s="100"/>
      <c r="E942" s="100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5.75" customHeight="1">
      <c r="A943" s="101"/>
      <c r="B943" s="100"/>
      <c r="C943" s="100"/>
      <c r="D943" s="100"/>
      <c r="E943" s="100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5.75" customHeight="1">
      <c r="A944" s="101"/>
      <c r="B944" s="100"/>
      <c r="C944" s="100"/>
      <c r="D944" s="100"/>
      <c r="E944" s="100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5.75" customHeight="1">
      <c r="A945" s="101"/>
      <c r="B945" s="100"/>
      <c r="C945" s="100"/>
      <c r="D945" s="100"/>
      <c r="E945" s="100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5.75" customHeight="1">
      <c r="A946" s="101"/>
      <c r="B946" s="100"/>
      <c r="C946" s="100"/>
      <c r="D946" s="100"/>
      <c r="E946" s="100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5.75" customHeight="1">
      <c r="A947" s="101"/>
      <c r="B947" s="100"/>
      <c r="C947" s="100"/>
      <c r="D947" s="100"/>
      <c r="E947" s="100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5.75" customHeight="1">
      <c r="A948" s="101"/>
      <c r="B948" s="100"/>
      <c r="C948" s="100"/>
      <c r="D948" s="100"/>
      <c r="E948" s="100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5.75" customHeight="1">
      <c r="A949" s="101"/>
      <c r="B949" s="100"/>
      <c r="C949" s="100"/>
      <c r="D949" s="100"/>
      <c r="E949" s="100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5.75" customHeight="1">
      <c r="A950" s="101"/>
      <c r="B950" s="100"/>
      <c r="C950" s="100"/>
      <c r="D950" s="100"/>
      <c r="E950" s="100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5.75" customHeight="1">
      <c r="A951" s="101"/>
      <c r="B951" s="100"/>
      <c r="C951" s="100"/>
      <c r="D951" s="100"/>
      <c r="E951" s="100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5.75" customHeight="1">
      <c r="A952" s="101"/>
      <c r="B952" s="100"/>
      <c r="C952" s="100"/>
      <c r="D952" s="100"/>
      <c r="E952" s="100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5.75" customHeight="1">
      <c r="A953" s="101"/>
      <c r="B953" s="100"/>
      <c r="C953" s="100"/>
      <c r="D953" s="100"/>
      <c r="E953" s="100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5.75" customHeight="1">
      <c r="A954" s="101"/>
      <c r="B954" s="100"/>
      <c r="C954" s="100"/>
      <c r="D954" s="100"/>
      <c r="E954" s="100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5.75" customHeight="1">
      <c r="A955" s="101"/>
      <c r="B955" s="100"/>
      <c r="C955" s="100"/>
      <c r="D955" s="100"/>
      <c r="E955" s="100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5.75" customHeight="1">
      <c r="A956" s="101"/>
      <c r="B956" s="100"/>
      <c r="C956" s="100"/>
      <c r="D956" s="100"/>
      <c r="E956" s="100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5.75" customHeight="1">
      <c r="A957" s="101"/>
      <c r="B957" s="100"/>
      <c r="C957" s="100"/>
      <c r="D957" s="100"/>
      <c r="E957" s="100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5.75" customHeight="1">
      <c r="A958" s="101"/>
      <c r="B958" s="100"/>
      <c r="C958" s="100"/>
      <c r="D958" s="100"/>
      <c r="E958" s="100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5.75" customHeight="1">
      <c r="A959" s="101"/>
      <c r="B959" s="100"/>
      <c r="C959" s="100"/>
      <c r="D959" s="100"/>
      <c r="E959" s="100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5.75" customHeight="1">
      <c r="A960" s="101"/>
      <c r="B960" s="100"/>
      <c r="C960" s="100"/>
      <c r="D960" s="100"/>
      <c r="E960" s="100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5.75" customHeight="1">
      <c r="A961" s="101"/>
      <c r="B961" s="100"/>
      <c r="C961" s="100"/>
      <c r="D961" s="100"/>
      <c r="E961" s="100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5.75" customHeight="1">
      <c r="A962" s="101"/>
      <c r="B962" s="100"/>
      <c r="C962" s="100"/>
      <c r="D962" s="100"/>
      <c r="E962" s="100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5.75" customHeight="1">
      <c r="A963" s="101"/>
      <c r="B963" s="100"/>
      <c r="C963" s="100"/>
      <c r="D963" s="100"/>
      <c r="E963" s="100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5.75" customHeight="1">
      <c r="A964" s="101"/>
      <c r="B964" s="100"/>
      <c r="C964" s="100"/>
      <c r="D964" s="100"/>
      <c r="E964" s="100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5.75" customHeight="1">
      <c r="A965" s="101"/>
      <c r="B965" s="100"/>
      <c r="C965" s="100"/>
      <c r="D965" s="100"/>
      <c r="E965" s="100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5.75" customHeight="1">
      <c r="A966" s="101"/>
      <c r="B966" s="100"/>
      <c r="C966" s="100"/>
      <c r="D966" s="100"/>
      <c r="E966" s="100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5.75" customHeight="1">
      <c r="A967" s="101"/>
      <c r="B967" s="100"/>
      <c r="C967" s="100"/>
      <c r="D967" s="100"/>
      <c r="E967" s="100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5.75" customHeight="1">
      <c r="A968" s="101"/>
      <c r="B968" s="100"/>
      <c r="C968" s="100"/>
      <c r="D968" s="100"/>
      <c r="E968" s="100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5.75" customHeight="1">
      <c r="A969" s="101"/>
      <c r="B969" s="100"/>
      <c r="C969" s="100"/>
      <c r="D969" s="100"/>
      <c r="E969" s="100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5.75" customHeight="1">
      <c r="A970" s="101"/>
      <c r="B970" s="100"/>
      <c r="C970" s="100"/>
      <c r="D970" s="100"/>
      <c r="E970" s="100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5.75" customHeight="1">
      <c r="A971" s="101"/>
      <c r="B971" s="100"/>
      <c r="C971" s="100"/>
      <c r="D971" s="100"/>
      <c r="E971" s="100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5.75" customHeight="1">
      <c r="A972" s="101"/>
      <c r="B972" s="100"/>
      <c r="C972" s="100"/>
      <c r="D972" s="100"/>
      <c r="E972" s="100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5.75" customHeight="1">
      <c r="A973" s="101"/>
      <c r="B973" s="100"/>
      <c r="C973" s="100"/>
      <c r="D973" s="100"/>
      <c r="E973" s="100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5.75" customHeight="1">
      <c r="A974" s="101"/>
      <c r="B974" s="100"/>
      <c r="C974" s="100"/>
      <c r="D974" s="100"/>
      <c r="E974" s="100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5.75" customHeight="1">
      <c r="A975" s="101"/>
      <c r="B975" s="100"/>
      <c r="C975" s="100"/>
      <c r="D975" s="100"/>
      <c r="E975" s="100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5.75" customHeight="1">
      <c r="A976" s="101"/>
      <c r="B976" s="100"/>
      <c r="C976" s="100"/>
      <c r="D976" s="100"/>
      <c r="E976" s="100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5.75" customHeight="1">
      <c r="A977" s="101"/>
      <c r="B977" s="100"/>
      <c r="C977" s="100"/>
      <c r="D977" s="100"/>
      <c r="E977" s="100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5.75" customHeight="1">
      <c r="A978" s="101"/>
      <c r="B978" s="100"/>
      <c r="C978" s="100"/>
      <c r="D978" s="100"/>
      <c r="E978" s="100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5.75" customHeight="1">
      <c r="A979" s="101"/>
      <c r="B979" s="100"/>
      <c r="C979" s="100"/>
      <c r="D979" s="100"/>
      <c r="E979" s="100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5.75" customHeight="1">
      <c r="A980" s="101"/>
      <c r="B980" s="100"/>
      <c r="C980" s="100"/>
      <c r="D980" s="100"/>
      <c r="E980" s="100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5.75" customHeight="1">
      <c r="A981" s="101"/>
      <c r="B981" s="100"/>
      <c r="C981" s="100"/>
      <c r="D981" s="100"/>
      <c r="E981" s="100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5.75" customHeight="1">
      <c r="A982" s="101"/>
      <c r="B982" s="100"/>
      <c r="C982" s="100"/>
      <c r="D982" s="100"/>
      <c r="E982" s="100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5.75" customHeight="1">
      <c r="A983" s="101"/>
      <c r="B983" s="100"/>
      <c r="C983" s="100"/>
      <c r="D983" s="100"/>
      <c r="E983" s="100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spans="1:26" ht="15.75" customHeight="1">
      <c r="A984" s="101"/>
      <c r="B984" s="100"/>
      <c r="C984" s="100"/>
      <c r="D984" s="100"/>
      <c r="E984" s="100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spans="1:26" ht="15.75" customHeight="1">
      <c r="A985" s="101"/>
      <c r="B985" s="100"/>
      <c r="C985" s="100"/>
      <c r="D985" s="100"/>
      <c r="E985" s="100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spans="1:26" ht="15.75" customHeight="1">
      <c r="A986" s="101"/>
      <c r="B986" s="100"/>
      <c r="C986" s="100"/>
      <c r="D986" s="100"/>
      <c r="E986" s="100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spans="1:26" ht="15.75" customHeight="1">
      <c r="A987" s="101"/>
      <c r="B987" s="100"/>
      <c r="C987" s="100"/>
      <c r="D987" s="100"/>
      <c r="E987" s="100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spans="1:26" ht="15.75" customHeight="1">
      <c r="A988" s="101"/>
      <c r="B988" s="100"/>
      <c r="C988" s="100"/>
      <c r="D988" s="100"/>
      <c r="E988" s="100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spans="1:26" ht="15.75" customHeight="1">
      <c r="A989" s="101"/>
      <c r="B989" s="100"/>
      <c r="C989" s="100"/>
      <c r="D989" s="100"/>
      <c r="E989" s="100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spans="1:26" ht="15.75" customHeight="1">
      <c r="A990" s="101"/>
      <c r="B990" s="100"/>
      <c r="C990" s="100"/>
      <c r="D990" s="100"/>
      <c r="E990" s="100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spans="1:26" ht="15.75" customHeight="1">
      <c r="A991" s="101"/>
      <c r="B991" s="100"/>
      <c r="C991" s="100"/>
      <c r="D991" s="100"/>
      <c r="E991" s="100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spans="1:26" ht="15.75" customHeight="1">
      <c r="A992" s="101"/>
      <c r="B992" s="100"/>
      <c r="C992" s="100"/>
      <c r="D992" s="100"/>
      <c r="E992" s="100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spans="1:26" ht="15.75" customHeight="1">
      <c r="A993" s="101"/>
      <c r="B993" s="100"/>
      <c r="C993" s="100"/>
      <c r="D993" s="100"/>
      <c r="E993" s="100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spans="1:26" ht="15.75" customHeight="1">
      <c r="A994" s="101"/>
      <c r="B994" s="100"/>
      <c r="C994" s="100"/>
      <c r="D994" s="100"/>
      <c r="E994" s="100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spans="1:26" ht="15.75" customHeight="1">
      <c r="A995" s="101"/>
      <c r="B995" s="100"/>
      <c r="C995" s="100"/>
      <c r="D995" s="100"/>
      <c r="E995" s="100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spans="1:26" ht="15.75" customHeight="1">
      <c r="A996" s="101"/>
      <c r="B996" s="100"/>
      <c r="C996" s="100"/>
      <c r="D996" s="100"/>
      <c r="E996" s="100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spans="1:26" ht="15.75" customHeight="1">
      <c r="A997" s="101"/>
      <c r="B997" s="100"/>
      <c r="C997" s="100"/>
      <c r="D997" s="100"/>
      <c r="E997" s="100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spans="1:26" ht="15.75" customHeight="1">
      <c r="A998" s="101"/>
      <c r="B998" s="100"/>
      <c r="C998" s="100"/>
      <c r="D998" s="100"/>
      <c r="E998" s="100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spans="1:26" ht="15.75" customHeight="1">
      <c r="A999" s="101"/>
      <c r="B999" s="100"/>
      <c r="C999" s="100"/>
      <c r="D999" s="100"/>
      <c r="E999" s="100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 spans="1:26" ht="15.75" customHeight="1">
      <c r="A1000" s="101"/>
      <c r="B1000" s="100"/>
      <c r="C1000" s="100"/>
      <c r="D1000" s="100"/>
      <c r="E1000" s="100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hyperlinks>
    <hyperlink ref="B5" r:id="rId1" xr:uid="{00000000-0004-0000-0400-000000000000}"/>
    <hyperlink ref="G25" r:id="rId2" xr:uid="{00000000-0004-0000-0400-000001000000}"/>
    <hyperlink ref="G27" r:id="rId3" xr:uid="{00000000-0004-0000-0400-000002000000}"/>
    <hyperlink ref="G36" r:id="rId4" xr:uid="{00000000-0004-0000-0400-000003000000}"/>
    <hyperlink ref="G38" r:id="rId5" xr:uid="{00000000-0004-0000-0400-000004000000}"/>
    <hyperlink ref="G40" r:id="rId6" xr:uid="{00000000-0004-0000-0400-000005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 customHeight="1"/>
  <cols>
    <col min="1" max="1" width="8.7109375" customWidth="1"/>
    <col min="2" max="3" width="26.5703125" customWidth="1"/>
    <col min="4" max="5" width="14.7109375" customWidth="1"/>
    <col min="6" max="6" width="60.7109375" customWidth="1"/>
    <col min="7" max="7" width="87.7109375" customWidth="1"/>
    <col min="8" max="8" width="14.7109375" customWidth="1"/>
    <col min="9" max="26" width="8.7109375" customWidth="1"/>
  </cols>
  <sheetData>
    <row r="1" spans="1:8">
      <c r="A1" s="125" t="s">
        <v>1</v>
      </c>
      <c r="B1" s="125" t="s">
        <v>402</v>
      </c>
      <c r="C1" s="125" t="s">
        <v>403</v>
      </c>
      <c r="D1" s="125" t="s">
        <v>404</v>
      </c>
      <c r="E1" s="125" t="s">
        <v>405</v>
      </c>
      <c r="F1" s="126" t="s">
        <v>406</v>
      </c>
      <c r="G1" s="125" t="s">
        <v>407</v>
      </c>
      <c r="H1" s="125" t="s">
        <v>57</v>
      </c>
    </row>
    <row r="2" spans="1:8" ht="99.75" customHeight="1">
      <c r="A2" s="102">
        <v>1</v>
      </c>
      <c r="B2" s="102" t="s">
        <v>408</v>
      </c>
      <c r="C2" s="102" t="s">
        <v>409</v>
      </c>
      <c r="D2" s="126" t="s">
        <v>410</v>
      </c>
      <c r="E2" s="126" t="str">
        <f t="shared" ref="E2:E7" si="0">TRIM(C2&amp;"-"&amp;D2)</f>
        <v>เรียนประจำวัน-Slide1.JPG</v>
      </c>
      <c r="F2" s="126" t="e">
        <v>#NAME?</v>
      </c>
      <c r="G2" s="126" t="s">
        <v>411</v>
      </c>
      <c r="H2" s="125"/>
    </row>
    <row r="3" spans="1:8" ht="99.75" customHeight="1">
      <c r="A3" s="102">
        <f t="shared" ref="A3:A7" si="1">A2+1</f>
        <v>2</v>
      </c>
      <c r="B3" s="102" t="s">
        <v>408</v>
      </c>
      <c r="C3" s="102" t="s">
        <v>409</v>
      </c>
      <c r="D3" s="126" t="s">
        <v>412</v>
      </c>
      <c r="E3" s="126" t="str">
        <f t="shared" si="0"/>
        <v>เรียนประจำวัน-Slide2.JPG</v>
      </c>
      <c r="F3" s="126" t="e">
        <v>#NAME?</v>
      </c>
      <c r="G3" s="126" t="s">
        <v>413</v>
      </c>
      <c r="H3" s="125"/>
    </row>
    <row r="4" spans="1:8" ht="99.75" customHeight="1">
      <c r="A4" s="127">
        <f t="shared" si="1"/>
        <v>3</v>
      </c>
      <c r="B4" s="127" t="s">
        <v>408</v>
      </c>
      <c r="C4" s="127" t="s">
        <v>409</v>
      </c>
      <c r="D4" s="128" t="s">
        <v>414</v>
      </c>
      <c r="E4" s="128" t="str">
        <f t="shared" si="0"/>
        <v>เรียนประจำวัน-Slide3.JPG</v>
      </c>
      <c r="F4" s="128" t="e">
        <v>#NAME?</v>
      </c>
      <c r="G4" s="128" t="s">
        <v>415</v>
      </c>
      <c r="H4" s="128" t="s">
        <v>416</v>
      </c>
    </row>
    <row r="5" spans="1:8" ht="99.75" customHeight="1">
      <c r="A5" s="102">
        <f t="shared" si="1"/>
        <v>4</v>
      </c>
      <c r="B5" s="102" t="s">
        <v>408</v>
      </c>
      <c r="C5" s="102" t="s">
        <v>409</v>
      </c>
      <c r="D5" s="126" t="s">
        <v>417</v>
      </c>
      <c r="E5" s="126" t="str">
        <f t="shared" si="0"/>
        <v>เรียนประจำวัน-Slide4.JPG</v>
      </c>
      <c r="F5" s="126" t="e">
        <v>#NAME?</v>
      </c>
      <c r="G5" s="126" t="s">
        <v>418</v>
      </c>
      <c r="H5" s="125"/>
    </row>
    <row r="6" spans="1:8" ht="99.75" customHeight="1">
      <c r="A6" s="102">
        <f t="shared" si="1"/>
        <v>5</v>
      </c>
      <c r="B6" s="102" t="s">
        <v>408</v>
      </c>
      <c r="C6" s="102" t="s">
        <v>409</v>
      </c>
      <c r="D6" s="126" t="s">
        <v>419</v>
      </c>
      <c r="E6" s="126" t="str">
        <f t="shared" si="0"/>
        <v>เรียนประจำวัน-Slide5.JPG</v>
      </c>
      <c r="F6" s="126" t="e">
        <v>#NAME?</v>
      </c>
      <c r="G6" s="126" t="s">
        <v>420</v>
      </c>
      <c r="H6" s="125"/>
    </row>
    <row r="7" spans="1:8" ht="99.75" customHeight="1">
      <c r="A7" s="127">
        <f t="shared" si="1"/>
        <v>6</v>
      </c>
      <c r="B7" s="127" t="s">
        <v>408</v>
      </c>
      <c r="C7" s="127" t="s">
        <v>409</v>
      </c>
      <c r="D7" s="128" t="s">
        <v>421</v>
      </c>
      <c r="E7" s="128" t="str">
        <f t="shared" si="0"/>
        <v>เรียนประจำวัน-Slide6.JPG</v>
      </c>
      <c r="F7" s="128" t="e">
        <v>#NAME?</v>
      </c>
      <c r="G7" s="128" t="s">
        <v>422</v>
      </c>
      <c r="H7" s="128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6.42578125" customWidth="1"/>
    <col min="2" max="2" width="42" customWidth="1"/>
    <col min="3" max="3" width="21" customWidth="1"/>
    <col min="4" max="5" width="21.28515625" customWidth="1"/>
    <col min="6" max="6" width="59.28515625" customWidth="1"/>
    <col min="7" max="7" width="85.140625" customWidth="1"/>
    <col min="8" max="26" width="33.42578125" customWidth="1"/>
  </cols>
  <sheetData>
    <row r="1" spans="1:26" ht="99.75" customHeight="1">
      <c r="A1" s="102" t="s">
        <v>423</v>
      </c>
      <c r="B1" s="126" t="s">
        <v>402</v>
      </c>
      <c r="C1" s="126" t="s">
        <v>365</v>
      </c>
      <c r="D1" s="126" t="s">
        <v>404</v>
      </c>
      <c r="E1" s="126" t="s">
        <v>405</v>
      </c>
      <c r="F1" s="126" t="s">
        <v>406</v>
      </c>
      <c r="G1" s="126" t="s">
        <v>407</v>
      </c>
    </row>
    <row r="2" spans="1:26" ht="99.75" customHeight="1">
      <c r="A2" s="102">
        <v>1</v>
      </c>
      <c r="B2" s="102" t="s">
        <v>424</v>
      </c>
      <c r="C2" s="102" t="s">
        <v>425</v>
      </c>
      <c r="D2" s="126" t="s">
        <v>410</v>
      </c>
      <c r="E2" s="126" t="str">
        <f t="shared" ref="E2:E256" si="0">TRIM(C2&amp;"-"&amp;D2)</f>
        <v>1.1.01-Slide1.JPG</v>
      </c>
      <c r="F2" s="126" t="e">
        <v>#NAME?</v>
      </c>
      <c r="G2" s="129" t="s">
        <v>426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99.75" customHeight="1">
      <c r="A3" s="102">
        <v>1</v>
      </c>
      <c r="B3" s="126" t="s">
        <v>424</v>
      </c>
      <c r="C3" s="125" t="s">
        <v>425</v>
      </c>
      <c r="D3" s="126" t="s">
        <v>412</v>
      </c>
      <c r="E3" s="126" t="str">
        <f t="shared" si="0"/>
        <v>1.1.01-Slide2.JPG</v>
      </c>
      <c r="F3" s="126" t="e">
        <v>#NAME?</v>
      </c>
      <c r="G3" s="130" t="s">
        <v>427</v>
      </c>
    </row>
    <row r="4" spans="1:26" ht="99.75" customHeight="1">
      <c r="A4" s="102">
        <v>1</v>
      </c>
      <c r="B4" s="126" t="s">
        <v>424</v>
      </c>
      <c r="C4" s="125" t="s">
        <v>425</v>
      </c>
      <c r="D4" s="126" t="s">
        <v>414</v>
      </c>
      <c r="E4" s="126" t="str">
        <f t="shared" si="0"/>
        <v>1.1.01-Slide3.JPG</v>
      </c>
      <c r="F4" s="126" t="e">
        <v>#NAME?</v>
      </c>
      <c r="G4" s="130" t="s">
        <v>428</v>
      </c>
    </row>
    <row r="5" spans="1:26" ht="99.75" customHeight="1">
      <c r="A5" s="102">
        <v>1</v>
      </c>
      <c r="B5" s="126" t="s">
        <v>429</v>
      </c>
      <c r="C5" s="125" t="s">
        <v>430</v>
      </c>
      <c r="D5" s="126" t="s">
        <v>410</v>
      </c>
      <c r="E5" s="126" t="str">
        <f t="shared" si="0"/>
        <v>1.1.02-Slide1.JPG</v>
      </c>
      <c r="F5" s="126" t="e">
        <v>#NAME?</v>
      </c>
      <c r="G5" s="130" t="s">
        <v>431</v>
      </c>
    </row>
    <row r="6" spans="1:26" ht="99.75" customHeight="1">
      <c r="A6" s="102">
        <v>1</v>
      </c>
      <c r="B6" s="126" t="s">
        <v>429</v>
      </c>
      <c r="C6" s="125" t="s">
        <v>430</v>
      </c>
      <c r="D6" s="126" t="s">
        <v>412</v>
      </c>
      <c r="E6" s="126" t="str">
        <f t="shared" si="0"/>
        <v>1.1.02-Slide2.JPG</v>
      </c>
      <c r="F6" s="126" t="e">
        <v>#NAME?</v>
      </c>
      <c r="G6" s="130" t="s">
        <v>432</v>
      </c>
    </row>
    <row r="7" spans="1:26" ht="99.75" customHeight="1">
      <c r="A7" s="102">
        <v>1</v>
      </c>
      <c r="B7" s="126" t="s">
        <v>429</v>
      </c>
      <c r="C7" s="125" t="s">
        <v>430</v>
      </c>
      <c r="D7" s="126" t="s">
        <v>414</v>
      </c>
      <c r="E7" s="126" t="str">
        <f t="shared" si="0"/>
        <v>1.1.02-Slide3.JPG</v>
      </c>
      <c r="F7" s="126" t="e">
        <v>#NAME?</v>
      </c>
      <c r="G7" s="130" t="s">
        <v>433</v>
      </c>
    </row>
    <row r="8" spans="1:26" ht="99.75" customHeight="1">
      <c r="A8" s="102">
        <v>1</v>
      </c>
      <c r="B8" s="126" t="s">
        <v>434</v>
      </c>
      <c r="C8" s="125" t="s">
        <v>435</v>
      </c>
      <c r="D8" s="126" t="s">
        <v>410</v>
      </c>
      <c r="E8" s="126" t="str">
        <f t="shared" si="0"/>
        <v>1.1.03-Slide1.JPG</v>
      </c>
      <c r="F8" s="126" t="e">
        <v>#NAME?</v>
      </c>
      <c r="G8" s="130" t="s">
        <v>436</v>
      </c>
    </row>
    <row r="9" spans="1:26" ht="99.75" customHeight="1">
      <c r="A9" s="102">
        <v>1</v>
      </c>
      <c r="B9" s="126" t="s">
        <v>434</v>
      </c>
      <c r="C9" s="125" t="s">
        <v>435</v>
      </c>
      <c r="D9" s="126" t="s">
        <v>412</v>
      </c>
      <c r="E9" s="126" t="str">
        <f t="shared" si="0"/>
        <v>1.1.03-Slide2.JPG</v>
      </c>
      <c r="F9" s="126" t="e">
        <v>#NAME?</v>
      </c>
      <c r="G9" s="130" t="s">
        <v>437</v>
      </c>
    </row>
    <row r="10" spans="1:26" ht="99.75" customHeight="1">
      <c r="A10" s="102">
        <v>1</v>
      </c>
      <c r="B10" s="126" t="s">
        <v>434</v>
      </c>
      <c r="C10" s="125" t="s">
        <v>435</v>
      </c>
      <c r="D10" s="126" t="s">
        <v>414</v>
      </c>
      <c r="E10" s="126" t="str">
        <f t="shared" si="0"/>
        <v>1.1.03-Slide3.JPG</v>
      </c>
      <c r="F10" s="126" t="e">
        <v>#NAME?</v>
      </c>
      <c r="G10" s="130" t="s">
        <v>438</v>
      </c>
    </row>
    <row r="11" spans="1:26" ht="99.75" customHeight="1">
      <c r="A11" s="102">
        <v>1</v>
      </c>
      <c r="B11" s="126" t="s">
        <v>439</v>
      </c>
      <c r="C11" s="125" t="s">
        <v>440</v>
      </c>
      <c r="D11" s="126" t="s">
        <v>410</v>
      </c>
      <c r="E11" s="126" t="str">
        <f t="shared" si="0"/>
        <v>1.1.04-Slide1.JPG</v>
      </c>
      <c r="F11" s="126" t="e">
        <v>#NAME?</v>
      </c>
      <c r="G11" s="130" t="s">
        <v>441</v>
      </c>
    </row>
    <row r="12" spans="1:26" ht="99.75" customHeight="1">
      <c r="A12" s="102">
        <v>1</v>
      </c>
      <c r="B12" s="126" t="s">
        <v>439</v>
      </c>
      <c r="C12" s="125" t="s">
        <v>440</v>
      </c>
      <c r="D12" s="126" t="s">
        <v>412</v>
      </c>
      <c r="E12" s="126" t="str">
        <f t="shared" si="0"/>
        <v>1.1.04-Slide2.JPG</v>
      </c>
      <c r="F12" s="126" t="e">
        <v>#NAME?</v>
      </c>
      <c r="G12" s="130" t="s">
        <v>442</v>
      </c>
    </row>
    <row r="13" spans="1:26" ht="99.75" customHeight="1">
      <c r="A13" s="102">
        <v>1</v>
      </c>
      <c r="B13" s="126" t="s">
        <v>439</v>
      </c>
      <c r="C13" s="125" t="s">
        <v>440</v>
      </c>
      <c r="D13" s="126" t="s">
        <v>414</v>
      </c>
      <c r="E13" s="126" t="str">
        <f t="shared" si="0"/>
        <v>1.1.04-Slide3.JPG</v>
      </c>
      <c r="F13" s="126" t="e">
        <v>#NAME?</v>
      </c>
      <c r="G13" s="130" t="s">
        <v>443</v>
      </c>
    </row>
    <row r="14" spans="1:26" ht="99.75" customHeight="1">
      <c r="A14" s="102">
        <v>1</v>
      </c>
      <c r="B14" s="126" t="s">
        <v>444</v>
      </c>
      <c r="C14" s="125" t="s">
        <v>445</v>
      </c>
      <c r="D14" s="126" t="s">
        <v>410</v>
      </c>
      <c r="E14" s="126" t="str">
        <f t="shared" si="0"/>
        <v>1.1.05-Slide1.JPG</v>
      </c>
      <c r="F14" s="126" t="e">
        <v>#NAME?</v>
      </c>
      <c r="G14" s="130" t="s">
        <v>446</v>
      </c>
    </row>
    <row r="15" spans="1:26" ht="99.75" customHeight="1">
      <c r="A15" s="102">
        <v>1</v>
      </c>
      <c r="B15" s="126" t="s">
        <v>444</v>
      </c>
      <c r="C15" s="125" t="s">
        <v>445</v>
      </c>
      <c r="D15" s="126" t="s">
        <v>412</v>
      </c>
      <c r="E15" s="126" t="str">
        <f t="shared" si="0"/>
        <v>1.1.05-Slide2.JPG</v>
      </c>
      <c r="F15" s="126" t="e">
        <v>#NAME?</v>
      </c>
      <c r="G15" s="130" t="s">
        <v>447</v>
      </c>
    </row>
    <row r="16" spans="1:26" ht="99.75" customHeight="1">
      <c r="A16" s="102">
        <v>1</v>
      </c>
      <c r="B16" s="126" t="s">
        <v>444</v>
      </c>
      <c r="C16" s="125" t="s">
        <v>445</v>
      </c>
      <c r="D16" s="126" t="s">
        <v>414</v>
      </c>
      <c r="E16" s="126" t="str">
        <f t="shared" si="0"/>
        <v>1.1.05-Slide3.JPG</v>
      </c>
      <c r="F16" s="126" t="e">
        <v>#NAME?</v>
      </c>
      <c r="G16" s="130" t="s">
        <v>448</v>
      </c>
    </row>
    <row r="17" spans="1:7" ht="99.75" customHeight="1">
      <c r="A17" s="102">
        <v>1</v>
      </c>
      <c r="B17" s="126" t="s">
        <v>449</v>
      </c>
      <c r="C17" s="125" t="s">
        <v>450</v>
      </c>
      <c r="D17" s="126" t="s">
        <v>410</v>
      </c>
      <c r="E17" s="126" t="str">
        <f t="shared" si="0"/>
        <v>1.1.06-Slide1.JPG</v>
      </c>
      <c r="F17" s="126" t="e">
        <v>#NAME?</v>
      </c>
      <c r="G17" s="130" t="s">
        <v>451</v>
      </c>
    </row>
    <row r="18" spans="1:7" ht="99.75" customHeight="1">
      <c r="A18" s="102">
        <v>1</v>
      </c>
      <c r="B18" s="126" t="s">
        <v>449</v>
      </c>
      <c r="C18" s="125" t="s">
        <v>450</v>
      </c>
      <c r="D18" s="126" t="s">
        <v>412</v>
      </c>
      <c r="E18" s="126" t="str">
        <f t="shared" si="0"/>
        <v>1.1.06-Slide2.JPG</v>
      </c>
      <c r="F18" s="126" t="e">
        <v>#NAME?</v>
      </c>
      <c r="G18" s="130" t="s">
        <v>452</v>
      </c>
    </row>
    <row r="19" spans="1:7" ht="99.75" customHeight="1">
      <c r="A19" s="102">
        <v>1</v>
      </c>
      <c r="B19" s="126" t="s">
        <v>449</v>
      </c>
      <c r="C19" s="125" t="s">
        <v>450</v>
      </c>
      <c r="D19" s="126" t="s">
        <v>414</v>
      </c>
      <c r="E19" s="126" t="str">
        <f t="shared" si="0"/>
        <v>1.1.06-Slide3.JPG</v>
      </c>
      <c r="F19" s="126" t="e">
        <v>#NAME?</v>
      </c>
      <c r="G19" s="130" t="s">
        <v>453</v>
      </c>
    </row>
    <row r="20" spans="1:7" ht="99.75" customHeight="1">
      <c r="A20" s="102">
        <v>1</v>
      </c>
      <c r="B20" s="126" t="s">
        <v>454</v>
      </c>
      <c r="C20" s="125" t="s">
        <v>455</v>
      </c>
      <c r="D20" s="126" t="s">
        <v>410</v>
      </c>
      <c r="E20" s="126" t="str">
        <f t="shared" si="0"/>
        <v>1.2.01-Slide1.JPG</v>
      </c>
      <c r="F20" s="126" t="e">
        <v>#NAME?</v>
      </c>
      <c r="G20" s="130" t="s">
        <v>456</v>
      </c>
    </row>
    <row r="21" spans="1:7" ht="99.75" customHeight="1">
      <c r="A21" s="102">
        <v>1</v>
      </c>
      <c r="B21" s="126" t="s">
        <v>454</v>
      </c>
      <c r="C21" s="125" t="s">
        <v>455</v>
      </c>
      <c r="D21" s="126" t="s">
        <v>412</v>
      </c>
      <c r="E21" s="126" t="str">
        <f t="shared" si="0"/>
        <v>1.2.01-Slide2.JPG</v>
      </c>
      <c r="F21" s="126" t="e">
        <v>#NAME?</v>
      </c>
      <c r="G21" s="130" t="s">
        <v>457</v>
      </c>
    </row>
    <row r="22" spans="1:7" ht="99.75" customHeight="1">
      <c r="A22" s="102">
        <v>1</v>
      </c>
      <c r="B22" s="126" t="s">
        <v>454</v>
      </c>
      <c r="C22" s="125" t="s">
        <v>455</v>
      </c>
      <c r="D22" s="126" t="s">
        <v>414</v>
      </c>
      <c r="E22" s="126" t="str">
        <f t="shared" si="0"/>
        <v>1.2.01-Slide3.JPG</v>
      </c>
      <c r="F22" s="126" t="e">
        <v>#NAME?</v>
      </c>
      <c r="G22" s="130" t="s">
        <v>458</v>
      </c>
    </row>
    <row r="23" spans="1:7" ht="99.75" customHeight="1">
      <c r="A23" s="102">
        <v>1</v>
      </c>
      <c r="B23" s="126" t="s">
        <v>459</v>
      </c>
      <c r="C23" s="125" t="s">
        <v>460</v>
      </c>
      <c r="D23" s="126" t="s">
        <v>410</v>
      </c>
      <c r="E23" s="126" t="str">
        <f t="shared" si="0"/>
        <v>1.2.02-Slide1.JPG</v>
      </c>
      <c r="F23" s="126" t="e">
        <v>#NAME?</v>
      </c>
      <c r="G23" s="130" t="s">
        <v>461</v>
      </c>
    </row>
    <row r="24" spans="1:7" ht="99.75" customHeight="1">
      <c r="A24" s="102">
        <v>1</v>
      </c>
      <c r="B24" s="126" t="s">
        <v>459</v>
      </c>
      <c r="C24" s="125" t="s">
        <v>460</v>
      </c>
      <c r="D24" s="126" t="s">
        <v>412</v>
      </c>
      <c r="E24" s="126" t="str">
        <f t="shared" si="0"/>
        <v>1.2.02-Slide2.JPG</v>
      </c>
      <c r="F24" s="126" t="e">
        <v>#NAME?</v>
      </c>
      <c r="G24" s="130" t="s">
        <v>462</v>
      </c>
    </row>
    <row r="25" spans="1:7" ht="99.75" customHeight="1">
      <c r="A25" s="102">
        <v>1</v>
      </c>
      <c r="B25" s="126" t="s">
        <v>459</v>
      </c>
      <c r="C25" s="125" t="s">
        <v>460</v>
      </c>
      <c r="D25" s="126" t="s">
        <v>414</v>
      </c>
      <c r="E25" s="126" t="str">
        <f t="shared" si="0"/>
        <v>1.2.02-Slide3.JPG</v>
      </c>
      <c r="F25" s="126" t="e">
        <v>#NAME?</v>
      </c>
      <c r="G25" s="130" t="s">
        <v>463</v>
      </c>
    </row>
    <row r="26" spans="1:7" ht="99.75" customHeight="1">
      <c r="A26" s="102">
        <v>1</v>
      </c>
      <c r="B26" s="126" t="s">
        <v>464</v>
      </c>
      <c r="C26" s="125" t="s">
        <v>465</v>
      </c>
      <c r="D26" s="126" t="s">
        <v>410</v>
      </c>
      <c r="E26" s="126" t="str">
        <f t="shared" si="0"/>
        <v>1.2.03-Slide1.JPG</v>
      </c>
      <c r="F26" s="126" t="e">
        <v>#NAME?</v>
      </c>
      <c r="G26" s="130" t="s">
        <v>466</v>
      </c>
    </row>
    <row r="27" spans="1:7" ht="99.75" customHeight="1">
      <c r="A27" s="102">
        <v>1</v>
      </c>
      <c r="B27" s="126" t="s">
        <v>464</v>
      </c>
      <c r="C27" s="125" t="s">
        <v>465</v>
      </c>
      <c r="D27" s="126" t="s">
        <v>412</v>
      </c>
      <c r="E27" s="126" t="str">
        <f t="shared" si="0"/>
        <v>1.2.03-Slide2.JPG</v>
      </c>
      <c r="F27" s="126" t="e">
        <v>#NAME?</v>
      </c>
      <c r="G27" s="130" t="s">
        <v>467</v>
      </c>
    </row>
    <row r="28" spans="1:7" ht="99.75" customHeight="1">
      <c r="A28" s="102">
        <v>1</v>
      </c>
      <c r="B28" s="126" t="s">
        <v>464</v>
      </c>
      <c r="C28" s="125" t="s">
        <v>465</v>
      </c>
      <c r="D28" s="126" t="s">
        <v>414</v>
      </c>
      <c r="E28" s="126" t="str">
        <f t="shared" si="0"/>
        <v>1.2.03-Slide3.JPG</v>
      </c>
      <c r="F28" s="126" t="e">
        <v>#NAME?</v>
      </c>
      <c r="G28" s="130" t="s">
        <v>468</v>
      </c>
    </row>
    <row r="29" spans="1:7" ht="99.75" customHeight="1">
      <c r="A29" s="102">
        <v>1</v>
      </c>
      <c r="B29" s="126" t="s">
        <v>469</v>
      </c>
      <c r="C29" s="125" t="s">
        <v>470</v>
      </c>
      <c r="D29" s="126" t="s">
        <v>410</v>
      </c>
      <c r="E29" s="126" t="str">
        <f t="shared" si="0"/>
        <v>1.2.04-Slide1.JPG</v>
      </c>
      <c r="F29" s="126" t="e">
        <v>#NAME?</v>
      </c>
      <c r="G29" s="130" t="s">
        <v>471</v>
      </c>
    </row>
    <row r="30" spans="1:7" ht="99.75" customHeight="1">
      <c r="A30" s="102">
        <v>1</v>
      </c>
      <c r="B30" s="126" t="s">
        <v>469</v>
      </c>
      <c r="C30" s="125" t="s">
        <v>470</v>
      </c>
      <c r="D30" s="126" t="s">
        <v>412</v>
      </c>
      <c r="E30" s="126" t="str">
        <f t="shared" si="0"/>
        <v>1.2.04-Slide2.JPG</v>
      </c>
      <c r="F30" s="126" t="e">
        <v>#NAME?</v>
      </c>
      <c r="G30" s="130" t="s">
        <v>472</v>
      </c>
    </row>
    <row r="31" spans="1:7" ht="99.75" customHeight="1">
      <c r="A31" s="102">
        <v>1</v>
      </c>
      <c r="B31" s="126" t="s">
        <v>469</v>
      </c>
      <c r="C31" s="125" t="s">
        <v>470</v>
      </c>
      <c r="D31" s="126" t="s">
        <v>414</v>
      </c>
      <c r="E31" s="126" t="str">
        <f t="shared" si="0"/>
        <v>1.2.04-Slide3.JPG</v>
      </c>
      <c r="F31" s="126" t="e">
        <v>#NAME?</v>
      </c>
      <c r="G31" s="130" t="s">
        <v>473</v>
      </c>
    </row>
    <row r="32" spans="1:7" ht="99.75" customHeight="1">
      <c r="A32" s="102">
        <v>1</v>
      </c>
      <c r="B32" s="126" t="s">
        <v>474</v>
      </c>
      <c r="C32" s="125" t="s">
        <v>475</v>
      </c>
      <c r="D32" s="126" t="s">
        <v>410</v>
      </c>
      <c r="E32" s="126" t="str">
        <f t="shared" si="0"/>
        <v>1.2.05-Slide1.JPG</v>
      </c>
      <c r="F32" s="126" t="e">
        <v>#NAME?</v>
      </c>
      <c r="G32" s="130" t="s">
        <v>476</v>
      </c>
    </row>
    <row r="33" spans="1:7" ht="99.75" customHeight="1">
      <c r="A33" s="102">
        <v>1</v>
      </c>
      <c r="B33" s="126" t="s">
        <v>474</v>
      </c>
      <c r="C33" s="125" t="s">
        <v>475</v>
      </c>
      <c r="D33" s="126" t="s">
        <v>412</v>
      </c>
      <c r="E33" s="126" t="str">
        <f t="shared" si="0"/>
        <v>1.2.05-Slide2.JPG</v>
      </c>
      <c r="F33" s="126" t="e">
        <v>#NAME?</v>
      </c>
      <c r="G33" s="130" t="s">
        <v>477</v>
      </c>
    </row>
    <row r="34" spans="1:7" ht="99.75" customHeight="1">
      <c r="A34" s="102">
        <v>1</v>
      </c>
      <c r="B34" s="126" t="s">
        <v>474</v>
      </c>
      <c r="C34" s="125" t="s">
        <v>475</v>
      </c>
      <c r="D34" s="126" t="s">
        <v>414</v>
      </c>
      <c r="E34" s="126" t="str">
        <f t="shared" si="0"/>
        <v>1.2.05-Slide3.JPG</v>
      </c>
      <c r="F34" s="126" t="e">
        <v>#NAME?</v>
      </c>
      <c r="G34" s="130" t="s">
        <v>478</v>
      </c>
    </row>
    <row r="35" spans="1:7" ht="99.75" customHeight="1">
      <c r="A35" s="102">
        <v>1</v>
      </c>
      <c r="B35" s="126" t="s">
        <v>479</v>
      </c>
      <c r="C35" s="125" t="s">
        <v>480</v>
      </c>
      <c r="D35" s="126" t="s">
        <v>410</v>
      </c>
      <c r="E35" s="126" t="str">
        <f t="shared" si="0"/>
        <v>1.2.06-Slide1.JPG</v>
      </c>
      <c r="F35" s="126" t="e">
        <v>#NAME?</v>
      </c>
      <c r="G35" s="130" t="s">
        <v>481</v>
      </c>
    </row>
    <row r="36" spans="1:7" ht="99.75" customHeight="1">
      <c r="A36" s="102">
        <v>1</v>
      </c>
      <c r="B36" s="126" t="s">
        <v>479</v>
      </c>
      <c r="C36" s="125" t="s">
        <v>480</v>
      </c>
      <c r="D36" s="126" t="s">
        <v>412</v>
      </c>
      <c r="E36" s="126" t="str">
        <f t="shared" si="0"/>
        <v>1.2.06-Slide2.JPG</v>
      </c>
      <c r="F36" s="126" t="e">
        <v>#NAME?</v>
      </c>
      <c r="G36" s="130" t="s">
        <v>482</v>
      </c>
    </row>
    <row r="37" spans="1:7" ht="99.75" customHeight="1">
      <c r="A37" s="102">
        <v>1</v>
      </c>
      <c r="B37" s="126" t="s">
        <v>479</v>
      </c>
      <c r="C37" s="125" t="s">
        <v>480</v>
      </c>
      <c r="D37" s="126" t="s">
        <v>414</v>
      </c>
      <c r="E37" s="126" t="str">
        <f t="shared" si="0"/>
        <v>1.2.06-Slide3.JPG</v>
      </c>
      <c r="F37" s="126" t="e">
        <v>#NAME?</v>
      </c>
      <c r="G37" s="130" t="s">
        <v>483</v>
      </c>
    </row>
    <row r="38" spans="1:7" ht="99.75" customHeight="1">
      <c r="A38" s="102">
        <v>1</v>
      </c>
      <c r="B38" s="126" t="s">
        <v>484</v>
      </c>
      <c r="C38" s="125" t="s">
        <v>485</v>
      </c>
      <c r="D38" s="126" t="s">
        <v>410</v>
      </c>
      <c r="E38" s="126" t="str">
        <f t="shared" si="0"/>
        <v>1.2.07-Slide1.JPG</v>
      </c>
      <c r="F38" s="126" t="e">
        <v>#NAME?</v>
      </c>
      <c r="G38" s="130" t="s">
        <v>486</v>
      </c>
    </row>
    <row r="39" spans="1:7" ht="99.75" customHeight="1">
      <c r="A39" s="102">
        <v>1</v>
      </c>
      <c r="B39" s="126" t="s">
        <v>484</v>
      </c>
      <c r="C39" s="125" t="s">
        <v>485</v>
      </c>
      <c r="D39" s="126" t="s">
        <v>412</v>
      </c>
      <c r="E39" s="126" t="str">
        <f t="shared" si="0"/>
        <v>1.2.07-Slide2.JPG</v>
      </c>
      <c r="F39" s="126" t="e">
        <v>#NAME?</v>
      </c>
      <c r="G39" s="130" t="s">
        <v>487</v>
      </c>
    </row>
    <row r="40" spans="1:7" ht="99.75" customHeight="1">
      <c r="A40" s="102">
        <v>1</v>
      </c>
      <c r="B40" s="126" t="s">
        <v>484</v>
      </c>
      <c r="C40" s="125" t="s">
        <v>485</v>
      </c>
      <c r="D40" s="126" t="s">
        <v>414</v>
      </c>
      <c r="E40" s="126" t="str">
        <f t="shared" si="0"/>
        <v>1.2.07-Slide3.JPG</v>
      </c>
      <c r="F40" s="126" t="e">
        <v>#NAME?</v>
      </c>
      <c r="G40" s="130" t="s">
        <v>488</v>
      </c>
    </row>
    <row r="41" spans="1:7" ht="99.75" customHeight="1">
      <c r="A41" s="102">
        <v>1</v>
      </c>
      <c r="B41" s="126" t="s">
        <v>489</v>
      </c>
      <c r="C41" s="125" t="s">
        <v>490</v>
      </c>
      <c r="D41" s="126" t="s">
        <v>410</v>
      </c>
      <c r="E41" s="126" t="str">
        <f t="shared" si="0"/>
        <v>1.2.08-Slide1.JPG</v>
      </c>
      <c r="F41" s="126" t="e">
        <v>#NAME?</v>
      </c>
      <c r="G41" s="130" t="s">
        <v>491</v>
      </c>
    </row>
    <row r="42" spans="1:7" ht="99.75" customHeight="1">
      <c r="A42" s="102">
        <v>1</v>
      </c>
      <c r="B42" s="126" t="s">
        <v>489</v>
      </c>
      <c r="C42" s="125" t="s">
        <v>490</v>
      </c>
      <c r="D42" s="126" t="s">
        <v>412</v>
      </c>
      <c r="E42" s="126" t="str">
        <f t="shared" si="0"/>
        <v>1.2.08-Slide2.JPG</v>
      </c>
      <c r="F42" s="126" t="e">
        <v>#NAME?</v>
      </c>
      <c r="G42" s="130" t="s">
        <v>492</v>
      </c>
    </row>
    <row r="43" spans="1:7" ht="99.75" customHeight="1">
      <c r="A43" s="102">
        <v>1</v>
      </c>
      <c r="B43" s="126" t="s">
        <v>489</v>
      </c>
      <c r="C43" s="125" t="s">
        <v>490</v>
      </c>
      <c r="D43" s="126" t="s">
        <v>414</v>
      </c>
      <c r="E43" s="126" t="str">
        <f t="shared" si="0"/>
        <v>1.2.08-Slide3.JPG</v>
      </c>
      <c r="F43" s="126" t="e">
        <v>#NAME?</v>
      </c>
      <c r="G43" s="130" t="s">
        <v>493</v>
      </c>
    </row>
    <row r="44" spans="1:7" ht="99.75" customHeight="1">
      <c r="A44" s="102">
        <v>1</v>
      </c>
      <c r="B44" s="126" t="s">
        <v>494</v>
      </c>
      <c r="C44" s="125" t="s">
        <v>495</v>
      </c>
      <c r="D44" s="126" t="s">
        <v>410</v>
      </c>
      <c r="E44" s="126" t="str">
        <f t="shared" si="0"/>
        <v>1.3.01-Slide1.JPG</v>
      </c>
      <c r="F44" s="126" t="e">
        <v>#NAME?</v>
      </c>
      <c r="G44" s="130" t="s">
        <v>496</v>
      </c>
    </row>
    <row r="45" spans="1:7" ht="99.75" customHeight="1">
      <c r="A45" s="102">
        <v>1</v>
      </c>
      <c r="B45" s="126" t="s">
        <v>494</v>
      </c>
      <c r="C45" s="125" t="s">
        <v>495</v>
      </c>
      <c r="D45" s="126" t="s">
        <v>412</v>
      </c>
      <c r="E45" s="126" t="str">
        <f t="shared" si="0"/>
        <v>1.3.01-Slide2.JPG</v>
      </c>
      <c r="F45" s="126" t="e">
        <v>#NAME?</v>
      </c>
      <c r="G45" s="130" t="s">
        <v>497</v>
      </c>
    </row>
    <row r="46" spans="1:7" ht="99.75" customHeight="1">
      <c r="A46" s="102">
        <v>1</v>
      </c>
      <c r="B46" s="126" t="s">
        <v>494</v>
      </c>
      <c r="C46" s="125" t="s">
        <v>495</v>
      </c>
      <c r="D46" s="126" t="s">
        <v>414</v>
      </c>
      <c r="E46" s="126" t="str">
        <f t="shared" si="0"/>
        <v>1.3.01-Slide3.JPG</v>
      </c>
      <c r="F46" s="126" t="e">
        <v>#NAME?</v>
      </c>
      <c r="G46" s="130" t="s">
        <v>498</v>
      </c>
    </row>
    <row r="47" spans="1:7" ht="99.75" customHeight="1">
      <c r="A47" s="102">
        <v>1</v>
      </c>
      <c r="B47" s="126" t="s">
        <v>499</v>
      </c>
      <c r="C47" s="125" t="s">
        <v>500</v>
      </c>
      <c r="D47" s="126" t="s">
        <v>410</v>
      </c>
      <c r="E47" s="126" t="str">
        <f t="shared" si="0"/>
        <v>1.3.02-Slide1.JPG</v>
      </c>
      <c r="F47" s="126" t="e">
        <v>#NAME?</v>
      </c>
      <c r="G47" s="130" t="s">
        <v>501</v>
      </c>
    </row>
    <row r="48" spans="1:7" ht="99.75" customHeight="1">
      <c r="A48" s="102">
        <v>1</v>
      </c>
      <c r="B48" s="126" t="s">
        <v>499</v>
      </c>
      <c r="C48" s="125" t="s">
        <v>500</v>
      </c>
      <c r="D48" s="126" t="s">
        <v>412</v>
      </c>
      <c r="E48" s="126" t="str">
        <f t="shared" si="0"/>
        <v>1.3.02-Slide2.JPG</v>
      </c>
      <c r="F48" s="126" t="e">
        <v>#NAME?</v>
      </c>
      <c r="G48" s="130" t="s">
        <v>502</v>
      </c>
    </row>
    <row r="49" spans="1:7" ht="99.75" customHeight="1">
      <c r="A49" s="102">
        <v>1</v>
      </c>
      <c r="B49" s="126" t="s">
        <v>499</v>
      </c>
      <c r="C49" s="125" t="s">
        <v>500</v>
      </c>
      <c r="D49" s="126" t="s">
        <v>414</v>
      </c>
      <c r="E49" s="126" t="str">
        <f t="shared" si="0"/>
        <v>1.3.02-Slide3.JPG</v>
      </c>
      <c r="F49" s="126" t="e">
        <v>#NAME?</v>
      </c>
      <c r="G49" s="130" t="s">
        <v>503</v>
      </c>
    </row>
    <row r="50" spans="1:7" ht="99.75" customHeight="1">
      <c r="A50" s="102">
        <v>1</v>
      </c>
      <c r="B50" s="126" t="s">
        <v>504</v>
      </c>
      <c r="C50" s="125" t="s">
        <v>505</v>
      </c>
      <c r="D50" s="126" t="s">
        <v>410</v>
      </c>
      <c r="E50" s="126" t="str">
        <f t="shared" si="0"/>
        <v>1.3.03-Slide1.JPG</v>
      </c>
      <c r="F50" s="126" t="e">
        <v>#NAME?</v>
      </c>
      <c r="G50" s="130" t="s">
        <v>506</v>
      </c>
    </row>
    <row r="51" spans="1:7" ht="99.75" customHeight="1">
      <c r="A51" s="102">
        <v>1</v>
      </c>
      <c r="B51" s="126" t="s">
        <v>504</v>
      </c>
      <c r="C51" s="125" t="s">
        <v>505</v>
      </c>
      <c r="D51" s="126" t="s">
        <v>412</v>
      </c>
      <c r="E51" s="126" t="str">
        <f t="shared" si="0"/>
        <v>1.3.03-Slide2.JPG</v>
      </c>
      <c r="F51" s="126" t="e">
        <v>#NAME?</v>
      </c>
      <c r="G51" s="130" t="s">
        <v>507</v>
      </c>
    </row>
    <row r="52" spans="1:7" ht="99.75" customHeight="1">
      <c r="A52" s="102">
        <v>1</v>
      </c>
      <c r="B52" s="126" t="s">
        <v>504</v>
      </c>
      <c r="C52" s="125" t="s">
        <v>505</v>
      </c>
      <c r="D52" s="126" t="s">
        <v>414</v>
      </c>
      <c r="E52" s="126" t="str">
        <f t="shared" si="0"/>
        <v>1.3.03-Slide3.JPG</v>
      </c>
      <c r="F52" s="126" t="e">
        <v>#NAME?</v>
      </c>
      <c r="G52" s="130" t="s">
        <v>508</v>
      </c>
    </row>
    <row r="53" spans="1:7" ht="99.75" customHeight="1">
      <c r="A53" s="102">
        <v>1</v>
      </c>
      <c r="B53" s="126" t="s">
        <v>509</v>
      </c>
      <c r="C53" s="125" t="s">
        <v>510</v>
      </c>
      <c r="D53" s="126" t="s">
        <v>410</v>
      </c>
      <c r="E53" s="126" t="str">
        <f t="shared" si="0"/>
        <v>1.3.04-Slide1.JPG</v>
      </c>
      <c r="F53" s="126" t="e">
        <v>#NAME?</v>
      </c>
      <c r="G53" s="130" t="s">
        <v>511</v>
      </c>
    </row>
    <row r="54" spans="1:7" ht="99.75" customHeight="1">
      <c r="A54" s="102">
        <v>1</v>
      </c>
      <c r="B54" s="126" t="s">
        <v>509</v>
      </c>
      <c r="C54" s="125" t="s">
        <v>510</v>
      </c>
      <c r="D54" s="126" t="s">
        <v>412</v>
      </c>
      <c r="E54" s="126" t="str">
        <f t="shared" si="0"/>
        <v>1.3.04-Slide2.JPG</v>
      </c>
      <c r="F54" s="126" t="e">
        <v>#NAME?</v>
      </c>
      <c r="G54" s="130" t="s">
        <v>512</v>
      </c>
    </row>
    <row r="55" spans="1:7" ht="99.75" customHeight="1">
      <c r="A55" s="102">
        <v>1</v>
      </c>
      <c r="B55" s="126" t="s">
        <v>509</v>
      </c>
      <c r="C55" s="125" t="s">
        <v>510</v>
      </c>
      <c r="D55" s="126" t="s">
        <v>414</v>
      </c>
      <c r="E55" s="126" t="str">
        <f t="shared" si="0"/>
        <v>1.3.04-Slide3.JPG</v>
      </c>
      <c r="F55" s="126" t="e">
        <v>#NAME?</v>
      </c>
      <c r="G55" s="130" t="s">
        <v>513</v>
      </c>
    </row>
    <row r="56" spans="1:7" ht="99.75" customHeight="1">
      <c r="A56" s="102">
        <v>1</v>
      </c>
      <c r="B56" s="126" t="s">
        <v>514</v>
      </c>
      <c r="C56" s="125" t="s">
        <v>515</v>
      </c>
      <c r="D56" s="126" t="s">
        <v>410</v>
      </c>
      <c r="E56" s="126" t="str">
        <f t="shared" si="0"/>
        <v>1.3.05-Slide1.JPG</v>
      </c>
      <c r="F56" s="126" t="e">
        <v>#NAME?</v>
      </c>
      <c r="G56" s="130" t="s">
        <v>516</v>
      </c>
    </row>
    <row r="57" spans="1:7" ht="99.75" customHeight="1">
      <c r="A57" s="102">
        <v>1</v>
      </c>
      <c r="B57" s="126" t="s">
        <v>514</v>
      </c>
      <c r="C57" s="125" t="s">
        <v>515</v>
      </c>
      <c r="D57" s="126" t="s">
        <v>412</v>
      </c>
      <c r="E57" s="126" t="str">
        <f t="shared" si="0"/>
        <v>1.3.05-Slide2.JPG</v>
      </c>
      <c r="F57" s="126" t="e">
        <v>#NAME?</v>
      </c>
      <c r="G57" s="130" t="s">
        <v>517</v>
      </c>
    </row>
    <row r="58" spans="1:7" ht="99.75" customHeight="1">
      <c r="A58" s="102">
        <v>1</v>
      </c>
      <c r="B58" s="126" t="s">
        <v>514</v>
      </c>
      <c r="C58" s="125" t="s">
        <v>515</v>
      </c>
      <c r="D58" s="126" t="s">
        <v>414</v>
      </c>
      <c r="E58" s="126" t="str">
        <f t="shared" si="0"/>
        <v>1.3.05-Slide3.JPG</v>
      </c>
      <c r="F58" s="126" t="e">
        <v>#NAME?</v>
      </c>
      <c r="G58" s="130" t="s">
        <v>518</v>
      </c>
    </row>
    <row r="59" spans="1:7" ht="99.75" customHeight="1">
      <c r="A59" s="102">
        <v>1</v>
      </c>
      <c r="B59" s="126" t="s">
        <v>519</v>
      </c>
      <c r="C59" s="125" t="s">
        <v>520</v>
      </c>
      <c r="D59" s="126" t="s">
        <v>410</v>
      </c>
      <c r="E59" s="126" t="str">
        <f t="shared" si="0"/>
        <v>1.3.06-Slide1.JPG</v>
      </c>
      <c r="F59" s="126" t="e">
        <v>#NAME?</v>
      </c>
      <c r="G59" s="130" t="s">
        <v>521</v>
      </c>
    </row>
    <row r="60" spans="1:7" ht="99.75" customHeight="1">
      <c r="A60" s="102">
        <v>1</v>
      </c>
      <c r="B60" s="126" t="s">
        <v>519</v>
      </c>
      <c r="C60" s="125" t="s">
        <v>520</v>
      </c>
      <c r="D60" s="126" t="s">
        <v>412</v>
      </c>
      <c r="E60" s="126" t="str">
        <f t="shared" si="0"/>
        <v>1.3.06-Slide2.JPG</v>
      </c>
      <c r="F60" s="126" t="e">
        <v>#NAME?</v>
      </c>
      <c r="G60" s="130" t="s">
        <v>522</v>
      </c>
    </row>
    <row r="61" spans="1:7" ht="99.75" customHeight="1">
      <c r="A61" s="102">
        <v>1</v>
      </c>
      <c r="B61" s="126" t="s">
        <v>519</v>
      </c>
      <c r="C61" s="125" t="s">
        <v>520</v>
      </c>
      <c r="D61" s="126" t="s">
        <v>414</v>
      </c>
      <c r="E61" s="126" t="str">
        <f t="shared" si="0"/>
        <v>1.3.06-Slide3.JPG</v>
      </c>
      <c r="F61" s="126" t="e">
        <v>#NAME?</v>
      </c>
      <c r="G61" s="130" t="s">
        <v>523</v>
      </c>
    </row>
    <row r="62" spans="1:7" ht="99.75" customHeight="1">
      <c r="A62" s="102">
        <v>1</v>
      </c>
      <c r="B62" s="126" t="s">
        <v>524</v>
      </c>
      <c r="C62" s="125" t="s">
        <v>525</v>
      </c>
      <c r="D62" s="126" t="s">
        <v>410</v>
      </c>
      <c r="E62" s="126" t="str">
        <f t="shared" si="0"/>
        <v>1.3.07-Slide1.JPG</v>
      </c>
      <c r="F62" s="126" t="e">
        <v>#NAME?</v>
      </c>
      <c r="G62" s="130" t="s">
        <v>526</v>
      </c>
    </row>
    <row r="63" spans="1:7" ht="99.75" customHeight="1">
      <c r="A63" s="102">
        <v>1</v>
      </c>
      <c r="B63" s="126" t="s">
        <v>524</v>
      </c>
      <c r="C63" s="125" t="s">
        <v>525</v>
      </c>
      <c r="D63" s="126" t="s">
        <v>412</v>
      </c>
      <c r="E63" s="126" t="str">
        <f t="shared" si="0"/>
        <v>1.3.07-Slide2.JPG</v>
      </c>
      <c r="F63" s="126" t="e">
        <v>#NAME?</v>
      </c>
      <c r="G63" s="130" t="s">
        <v>527</v>
      </c>
    </row>
    <row r="64" spans="1:7" ht="99.75" customHeight="1">
      <c r="A64" s="102">
        <v>1</v>
      </c>
      <c r="B64" s="126" t="s">
        <v>524</v>
      </c>
      <c r="C64" s="125" t="s">
        <v>525</v>
      </c>
      <c r="D64" s="126" t="s">
        <v>414</v>
      </c>
      <c r="E64" s="126" t="str">
        <f t="shared" si="0"/>
        <v>1.3.07-Slide3.JPG</v>
      </c>
      <c r="F64" s="126" t="e">
        <v>#NAME?</v>
      </c>
      <c r="G64" s="130" t="s">
        <v>528</v>
      </c>
    </row>
    <row r="65" spans="1:7" ht="99.75" customHeight="1">
      <c r="A65" s="102">
        <v>1</v>
      </c>
      <c r="B65" s="126" t="s">
        <v>529</v>
      </c>
      <c r="C65" s="125" t="s">
        <v>530</v>
      </c>
      <c r="D65" s="126" t="s">
        <v>410</v>
      </c>
      <c r="E65" s="126" t="str">
        <f t="shared" si="0"/>
        <v>1.3.08-Slide1.JPG</v>
      </c>
      <c r="F65" s="126" t="e">
        <v>#NAME?</v>
      </c>
      <c r="G65" s="130" t="s">
        <v>531</v>
      </c>
    </row>
    <row r="66" spans="1:7" ht="99.75" customHeight="1">
      <c r="A66" s="102">
        <v>1</v>
      </c>
      <c r="B66" s="126" t="s">
        <v>529</v>
      </c>
      <c r="C66" s="125" t="s">
        <v>530</v>
      </c>
      <c r="D66" s="126" t="s">
        <v>412</v>
      </c>
      <c r="E66" s="126" t="str">
        <f t="shared" si="0"/>
        <v>1.3.08-Slide2.JPG</v>
      </c>
      <c r="F66" s="126" t="e">
        <v>#NAME?</v>
      </c>
      <c r="G66" s="130" t="s">
        <v>532</v>
      </c>
    </row>
    <row r="67" spans="1:7" ht="99.75" customHeight="1">
      <c r="A67" s="102">
        <v>1</v>
      </c>
      <c r="B67" s="126" t="s">
        <v>529</v>
      </c>
      <c r="C67" s="125" t="s">
        <v>530</v>
      </c>
      <c r="D67" s="126" t="s">
        <v>414</v>
      </c>
      <c r="E67" s="126" t="str">
        <f t="shared" si="0"/>
        <v>1.3.08-Slide3.JPG</v>
      </c>
      <c r="F67" s="126" t="e">
        <v>#NAME?</v>
      </c>
      <c r="G67" s="130" t="s">
        <v>533</v>
      </c>
    </row>
    <row r="68" spans="1:7" ht="99.75" customHeight="1">
      <c r="A68" s="102">
        <v>1</v>
      </c>
      <c r="B68" s="126" t="s">
        <v>534</v>
      </c>
      <c r="C68" s="125" t="s">
        <v>535</v>
      </c>
      <c r="D68" s="126" t="s">
        <v>410</v>
      </c>
      <c r="E68" s="126" t="str">
        <f t="shared" si="0"/>
        <v>1.4.01-Slide1.JPG</v>
      </c>
      <c r="F68" s="126" t="e">
        <v>#NAME?</v>
      </c>
      <c r="G68" s="130" t="s">
        <v>536</v>
      </c>
    </row>
    <row r="69" spans="1:7" ht="99.75" customHeight="1">
      <c r="A69" s="102">
        <v>1</v>
      </c>
      <c r="B69" s="126" t="s">
        <v>534</v>
      </c>
      <c r="C69" s="125" t="s">
        <v>535</v>
      </c>
      <c r="D69" s="126" t="s">
        <v>412</v>
      </c>
      <c r="E69" s="126" t="str">
        <f t="shared" si="0"/>
        <v>1.4.01-Slide2.JPG</v>
      </c>
      <c r="F69" s="126" t="e">
        <v>#NAME?</v>
      </c>
      <c r="G69" s="130" t="s">
        <v>537</v>
      </c>
    </row>
    <row r="70" spans="1:7" ht="99.75" customHeight="1">
      <c r="A70" s="102">
        <v>1</v>
      </c>
      <c r="B70" s="126" t="s">
        <v>534</v>
      </c>
      <c r="C70" s="125" t="s">
        <v>535</v>
      </c>
      <c r="D70" s="126" t="s">
        <v>414</v>
      </c>
      <c r="E70" s="126" t="str">
        <f t="shared" si="0"/>
        <v>1.4.01-Slide3.JPG</v>
      </c>
      <c r="F70" s="126" t="e">
        <v>#NAME?</v>
      </c>
      <c r="G70" s="130" t="s">
        <v>538</v>
      </c>
    </row>
    <row r="71" spans="1:7" ht="99.75" customHeight="1">
      <c r="A71" s="102">
        <v>1</v>
      </c>
      <c r="B71" s="126" t="s">
        <v>539</v>
      </c>
      <c r="C71" s="125" t="s">
        <v>540</v>
      </c>
      <c r="D71" s="126" t="s">
        <v>410</v>
      </c>
      <c r="E71" s="126" t="str">
        <f t="shared" si="0"/>
        <v>1.4.02-Slide1.JPG</v>
      </c>
      <c r="F71" s="126" t="e">
        <v>#NAME?</v>
      </c>
      <c r="G71" s="130" t="s">
        <v>541</v>
      </c>
    </row>
    <row r="72" spans="1:7" ht="99.75" customHeight="1">
      <c r="A72" s="102">
        <v>1</v>
      </c>
      <c r="B72" s="126" t="s">
        <v>539</v>
      </c>
      <c r="C72" s="125" t="s">
        <v>540</v>
      </c>
      <c r="D72" s="126" t="s">
        <v>412</v>
      </c>
      <c r="E72" s="126" t="str">
        <f t="shared" si="0"/>
        <v>1.4.02-Slide2.JPG</v>
      </c>
      <c r="F72" s="126" t="e">
        <v>#NAME?</v>
      </c>
      <c r="G72" s="130" t="s">
        <v>542</v>
      </c>
    </row>
    <row r="73" spans="1:7" ht="99.75" customHeight="1">
      <c r="A73" s="102">
        <v>1</v>
      </c>
      <c r="B73" s="126" t="s">
        <v>539</v>
      </c>
      <c r="C73" s="125" t="s">
        <v>540</v>
      </c>
      <c r="D73" s="126" t="s">
        <v>414</v>
      </c>
      <c r="E73" s="126" t="str">
        <f t="shared" si="0"/>
        <v>1.4.02-Slide3.JPG</v>
      </c>
      <c r="F73" s="126" t="e">
        <v>#NAME?</v>
      </c>
      <c r="G73" s="130" t="s">
        <v>543</v>
      </c>
    </row>
    <row r="74" spans="1:7" ht="99.75" customHeight="1">
      <c r="A74" s="102">
        <v>1</v>
      </c>
      <c r="B74" s="126" t="s">
        <v>544</v>
      </c>
      <c r="C74" s="125" t="s">
        <v>545</v>
      </c>
      <c r="D74" s="126" t="s">
        <v>410</v>
      </c>
      <c r="E74" s="126" t="str">
        <f t="shared" si="0"/>
        <v>1.4.03-Slide1.JPG</v>
      </c>
      <c r="F74" s="126" t="e">
        <v>#NAME?</v>
      </c>
      <c r="G74" s="130" t="s">
        <v>546</v>
      </c>
    </row>
    <row r="75" spans="1:7" ht="99.75" customHeight="1">
      <c r="A75" s="102">
        <v>1</v>
      </c>
      <c r="B75" s="126" t="s">
        <v>544</v>
      </c>
      <c r="C75" s="125" t="s">
        <v>545</v>
      </c>
      <c r="D75" s="126" t="s">
        <v>412</v>
      </c>
      <c r="E75" s="126" t="str">
        <f t="shared" si="0"/>
        <v>1.4.03-Slide2.JPG</v>
      </c>
      <c r="F75" s="126" t="e">
        <v>#NAME?</v>
      </c>
      <c r="G75" s="130" t="s">
        <v>547</v>
      </c>
    </row>
    <row r="76" spans="1:7" ht="99.75" customHeight="1">
      <c r="A76" s="102">
        <v>1</v>
      </c>
      <c r="B76" s="126" t="s">
        <v>544</v>
      </c>
      <c r="C76" s="125" t="s">
        <v>545</v>
      </c>
      <c r="D76" s="126" t="s">
        <v>414</v>
      </c>
      <c r="E76" s="126" t="str">
        <f t="shared" si="0"/>
        <v>1.4.03-Slide3.JPG</v>
      </c>
      <c r="F76" s="126" t="e">
        <v>#NAME?</v>
      </c>
      <c r="G76" s="130" t="s">
        <v>548</v>
      </c>
    </row>
    <row r="77" spans="1:7" ht="99.75" customHeight="1">
      <c r="A77" s="102">
        <v>1</v>
      </c>
      <c r="B77" s="126" t="s">
        <v>549</v>
      </c>
      <c r="C77" s="125" t="s">
        <v>550</v>
      </c>
      <c r="D77" s="126" t="s">
        <v>410</v>
      </c>
      <c r="E77" s="126" t="str">
        <f t="shared" si="0"/>
        <v>1.4.04-Slide1.JPG</v>
      </c>
      <c r="F77" s="126" t="e">
        <v>#NAME?</v>
      </c>
      <c r="G77" s="130" t="s">
        <v>551</v>
      </c>
    </row>
    <row r="78" spans="1:7" ht="99.75" customHeight="1">
      <c r="A78" s="102">
        <v>1</v>
      </c>
      <c r="B78" s="126" t="s">
        <v>549</v>
      </c>
      <c r="C78" s="125" t="s">
        <v>550</v>
      </c>
      <c r="D78" s="126" t="s">
        <v>412</v>
      </c>
      <c r="E78" s="126" t="str">
        <f t="shared" si="0"/>
        <v>1.4.04-Slide2.JPG</v>
      </c>
      <c r="F78" s="126" t="e">
        <v>#NAME?</v>
      </c>
      <c r="G78" s="130" t="s">
        <v>552</v>
      </c>
    </row>
    <row r="79" spans="1:7" ht="99.75" customHeight="1">
      <c r="A79" s="102">
        <v>1</v>
      </c>
      <c r="B79" s="126" t="s">
        <v>549</v>
      </c>
      <c r="C79" s="125" t="s">
        <v>550</v>
      </c>
      <c r="D79" s="126" t="s">
        <v>414</v>
      </c>
      <c r="E79" s="126" t="str">
        <f t="shared" si="0"/>
        <v>1.4.04-Slide3.JPG</v>
      </c>
      <c r="F79" s="126" t="e">
        <v>#NAME?</v>
      </c>
      <c r="G79" s="130" t="s">
        <v>553</v>
      </c>
    </row>
    <row r="80" spans="1:7" ht="99.75" customHeight="1">
      <c r="A80" s="102">
        <v>1</v>
      </c>
      <c r="B80" s="126" t="s">
        <v>554</v>
      </c>
      <c r="C80" s="125" t="s">
        <v>555</v>
      </c>
      <c r="D80" s="126" t="s">
        <v>410</v>
      </c>
      <c r="E80" s="126" t="str">
        <f t="shared" si="0"/>
        <v>1.4.05-Slide1.JPG</v>
      </c>
      <c r="F80" s="126" t="e">
        <v>#NAME?</v>
      </c>
      <c r="G80" s="130" t="s">
        <v>556</v>
      </c>
    </row>
    <row r="81" spans="1:7" ht="99.75" customHeight="1">
      <c r="A81" s="102">
        <v>1</v>
      </c>
      <c r="B81" s="126" t="s">
        <v>554</v>
      </c>
      <c r="C81" s="125" t="s">
        <v>555</v>
      </c>
      <c r="D81" s="126" t="s">
        <v>412</v>
      </c>
      <c r="E81" s="126" t="str">
        <f t="shared" si="0"/>
        <v>1.4.05-Slide2.JPG</v>
      </c>
      <c r="F81" s="126" t="e">
        <v>#NAME?</v>
      </c>
      <c r="G81" s="130" t="s">
        <v>557</v>
      </c>
    </row>
    <row r="82" spans="1:7" ht="99.75" customHeight="1">
      <c r="A82" s="102">
        <v>1</v>
      </c>
      <c r="B82" s="126" t="s">
        <v>554</v>
      </c>
      <c r="C82" s="125" t="s">
        <v>555</v>
      </c>
      <c r="D82" s="126" t="s">
        <v>414</v>
      </c>
      <c r="E82" s="126" t="str">
        <f t="shared" si="0"/>
        <v>1.4.05-Slide3.JPG</v>
      </c>
      <c r="F82" s="126" t="e">
        <v>#NAME?</v>
      </c>
      <c r="G82" s="130" t="s">
        <v>558</v>
      </c>
    </row>
    <row r="83" spans="1:7" ht="99.75" customHeight="1">
      <c r="A83" s="102">
        <v>1</v>
      </c>
      <c r="B83" s="126" t="s">
        <v>559</v>
      </c>
      <c r="C83" s="125" t="s">
        <v>560</v>
      </c>
      <c r="D83" s="126" t="s">
        <v>410</v>
      </c>
      <c r="E83" s="126" t="str">
        <f t="shared" si="0"/>
        <v>1.4.06-Slide1.JPG</v>
      </c>
      <c r="F83" s="126" t="e">
        <v>#NAME?</v>
      </c>
      <c r="G83" s="130" t="s">
        <v>561</v>
      </c>
    </row>
    <row r="84" spans="1:7" ht="99.75" customHeight="1">
      <c r="A84" s="102">
        <v>1</v>
      </c>
      <c r="B84" s="126" t="s">
        <v>559</v>
      </c>
      <c r="C84" s="125" t="s">
        <v>560</v>
      </c>
      <c r="D84" s="126" t="s">
        <v>412</v>
      </c>
      <c r="E84" s="126" t="str">
        <f t="shared" si="0"/>
        <v>1.4.06-Slide2.JPG</v>
      </c>
      <c r="F84" s="126" t="e">
        <v>#NAME?</v>
      </c>
      <c r="G84" s="130" t="s">
        <v>562</v>
      </c>
    </row>
    <row r="85" spans="1:7" ht="99.75" customHeight="1">
      <c r="A85" s="102">
        <v>1</v>
      </c>
      <c r="B85" s="126" t="s">
        <v>559</v>
      </c>
      <c r="C85" s="125" t="s">
        <v>560</v>
      </c>
      <c r="D85" s="126" t="s">
        <v>414</v>
      </c>
      <c r="E85" s="126" t="str">
        <f t="shared" si="0"/>
        <v>1.4.06-Slide3.JPG</v>
      </c>
      <c r="F85" s="126" t="e">
        <v>#NAME?</v>
      </c>
      <c r="G85" s="130" t="s">
        <v>563</v>
      </c>
    </row>
    <row r="86" spans="1:7" ht="99.75" customHeight="1">
      <c r="A86" s="102">
        <v>1</v>
      </c>
      <c r="B86" s="126" t="s">
        <v>564</v>
      </c>
      <c r="C86" s="125" t="s">
        <v>565</v>
      </c>
      <c r="D86" s="126" t="s">
        <v>410</v>
      </c>
      <c r="E86" s="126" t="str">
        <f t="shared" si="0"/>
        <v>1.4.07-Slide1.JPG</v>
      </c>
      <c r="F86" s="126" t="e">
        <v>#NAME?</v>
      </c>
      <c r="G86" s="130" t="s">
        <v>566</v>
      </c>
    </row>
    <row r="87" spans="1:7" ht="99.75" customHeight="1">
      <c r="A87" s="102">
        <v>1</v>
      </c>
      <c r="B87" s="126" t="s">
        <v>564</v>
      </c>
      <c r="C87" s="125" t="s">
        <v>565</v>
      </c>
      <c r="D87" s="126" t="s">
        <v>412</v>
      </c>
      <c r="E87" s="126" t="str">
        <f t="shared" si="0"/>
        <v>1.4.07-Slide2.JPG</v>
      </c>
      <c r="F87" s="126" t="e">
        <v>#NAME?</v>
      </c>
      <c r="G87" s="130" t="s">
        <v>567</v>
      </c>
    </row>
    <row r="88" spans="1:7" ht="99.75" customHeight="1">
      <c r="A88" s="102">
        <v>1</v>
      </c>
      <c r="B88" s="126" t="s">
        <v>564</v>
      </c>
      <c r="C88" s="125" t="s">
        <v>565</v>
      </c>
      <c r="D88" s="126" t="s">
        <v>414</v>
      </c>
      <c r="E88" s="126" t="str">
        <f t="shared" si="0"/>
        <v>1.4.07-Slide3.JPG</v>
      </c>
      <c r="F88" s="126" t="e">
        <v>#NAME?</v>
      </c>
      <c r="G88" s="130" t="s">
        <v>568</v>
      </c>
    </row>
    <row r="89" spans="1:7" ht="99.75" customHeight="1">
      <c r="A89" s="102">
        <v>1</v>
      </c>
      <c r="B89" s="126" t="s">
        <v>569</v>
      </c>
      <c r="C89" s="125" t="s">
        <v>570</v>
      </c>
      <c r="D89" s="126" t="s">
        <v>410</v>
      </c>
      <c r="E89" s="126" t="str">
        <f t="shared" si="0"/>
        <v>2.1.01-Slide1.JPG</v>
      </c>
      <c r="F89" s="126" t="e">
        <v>#NAME?</v>
      </c>
      <c r="G89" s="130" t="s">
        <v>571</v>
      </c>
    </row>
    <row r="90" spans="1:7" ht="99.75" customHeight="1">
      <c r="A90" s="102">
        <v>1</v>
      </c>
      <c r="B90" s="126" t="s">
        <v>569</v>
      </c>
      <c r="C90" s="125" t="s">
        <v>570</v>
      </c>
      <c r="D90" s="126" t="s">
        <v>412</v>
      </c>
      <c r="E90" s="126" t="str">
        <f t="shared" si="0"/>
        <v>2.1.01-Slide2.JPG</v>
      </c>
      <c r="F90" s="126" t="e">
        <v>#NAME?</v>
      </c>
      <c r="G90" s="130" t="s">
        <v>572</v>
      </c>
    </row>
    <row r="91" spans="1:7" ht="99.75" customHeight="1">
      <c r="A91" s="102">
        <v>1</v>
      </c>
      <c r="B91" s="126" t="s">
        <v>569</v>
      </c>
      <c r="C91" s="125" t="s">
        <v>570</v>
      </c>
      <c r="D91" s="126" t="s">
        <v>414</v>
      </c>
      <c r="E91" s="126" t="str">
        <f t="shared" si="0"/>
        <v>2.1.01-Slide3.JPG</v>
      </c>
      <c r="F91" s="126" t="e">
        <v>#NAME?</v>
      </c>
      <c r="G91" s="130" t="s">
        <v>573</v>
      </c>
    </row>
    <row r="92" spans="1:7" ht="99.75" customHeight="1">
      <c r="A92" s="102">
        <v>1</v>
      </c>
      <c r="B92" s="126" t="s">
        <v>574</v>
      </c>
      <c r="C92" s="125" t="s">
        <v>575</v>
      </c>
      <c r="D92" s="126" t="s">
        <v>410</v>
      </c>
      <c r="E92" s="126" t="str">
        <f t="shared" si="0"/>
        <v>2.1.02-Slide1.JPG</v>
      </c>
      <c r="F92" s="126" t="e">
        <v>#NAME?</v>
      </c>
      <c r="G92" s="130" t="s">
        <v>576</v>
      </c>
    </row>
    <row r="93" spans="1:7" ht="99.75" customHeight="1">
      <c r="A93" s="102">
        <v>1</v>
      </c>
      <c r="B93" s="126" t="s">
        <v>574</v>
      </c>
      <c r="C93" s="125" t="s">
        <v>575</v>
      </c>
      <c r="D93" s="126" t="s">
        <v>412</v>
      </c>
      <c r="E93" s="126" t="str">
        <f t="shared" si="0"/>
        <v>2.1.02-Slide2.JPG</v>
      </c>
      <c r="F93" s="126" t="e">
        <v>#NAME?</v>
      </c>
      <c r="G93" s="130" t="s">
        <v>577</v>
      </c>
    </row>
    <row r="94" spans="1:7" ht="99.75" customHeight="1">
      <c r="A94" s="102">
        <v>1</v>
      </c>
      <c r="B94" s="126" t="s">
        <v>574</v>
      </c>
      <c r="C94" s="125" t="s">
        <v>575</v>
      </c>
      <c r="D94" s="126" t="s">
        <v>414</v>
      </c>
      <c r="E94" s="126" t="str">
        <f t="shared" si="0"/>
        <v>2.1.02-Slide3.JPG</v>
      </c>
      <c r="F94" s="126" t="e">
        <v>#NAME?</v>
      </c>
      <c r="G94" s="130" t="s">
        <v>578</v>
      </c>
    </row>
    <row r="95" spans="1:7" ht="99.75" customHeight="1">
      <c r="A95" s="102">
        <v>1</v>
      </c>
      <c r="B95" s="126" t="s">
        <v>579</v>
      </c>
      <c r="C95" s="125" t="s">
        <v>580</v>
      </c>
      <c r="D95" s="126" t="s">
        <v>410</v>
      </c>
      <c r="E95" s="126" t="str">
        <f t="shared" si="0"/>
        <v>2.1.03-Slide1.JPG</v>
      </c>
      <c r="F95" s="126" t="e">
        <v>#NAME?</v>
      </c>
      <c r="G95" s="130" t="s">
        <v>581</v>
      </c>
    </row>
    <row r="96" spans="1:7" ht="99.75" customHeight="1">
      <c r="A96" s="102">
        <v>1</v>
      </c>
      <c r="B96" s="126" t="s">
        <v>579</v>
      </c>
      <c r="C96" s="125" t="s">
        <v>580</v>
      </c>
      <c r="D96" s="126" t="s">
        <v>412</v>
      </c>
      <c r="E96" s="126" t="str">
        <f t="shared" si="0"/>
        <v>2.1.03-Slide2.JPG</v>
      </c>
      <c r="F96" s="126" t="e">
        <v>#NAME?</v>
      </c>
      <c r="G96" s="130" t="s">
        <v>582</v>
      </c>
    </row>
    <row r="97" spans="1:7" ht="99.75" customHeight="1">
      <c r="A97" s="102">
        <v>1</v>
      </c>
      <c r="B97" s="126" t="s">
        <v>579</v>
      </c>
      <c r="C97" s="125" t="s">
        <v>580</v>
      </c>
      <c r="D97" s="126" t="s">
        <v>414</v>
      </c>
      <c r="E97" s="126" t="str">
        <f t="shared" si="0"/>
        <v>2.1.03-Slide3.JPG</v>
      </c>
      <c r="F97" s="126" t="e">
        <v>#NAME?</v>
      </c>
      <c r="G97" s="130" t="s">
        <v>583</v>
      </c>
    </row>
    <row r="98" spans="1:7" ht="99.75" customHeight="1">
      <c r="A98" s="102">
        <v>1</v>
      </c>
      <c r="B98" s="126" t="s">
        <v>584</v>
      </c>
      <c r="C98" s="125" t="s">
        <v>585</v>
      </c>
      <c r="D98" s="126" t="s">
        <v>410</v>
      </c>
      <c r="E98" s="126" t="str">
        <f t="shared" si="0"/>
        <v>2.1.04-Slide1.JPG</v>
      </c>
      <c r="F98" s="126" t="e">
        <v>#NAME?</v>
      </c>
      <c r="G98" s="130" t="s">
        <v>586</v>
      </c>
    </row>
    <row r="99" spans="1:7" ht="99.75" customHeight="1">
      <c r="A99" s="102">
        <v>1</v>
      </c>
      <c r="B99" s="126" t="s">
        <v>584</v>
      </c>
      <c r="C99" s="125" t="s">
        <v>585</v>
      </c>
      <c r="D99" s="126" t="s">
        <v>412</v>
      </c>
      <c r="E99" s="126" t="str">
        <f t="shared" si="0"/>
        <v>2.1.04-Slide2.JPG</v>
      </c>
      <c r="F99" s="126" t="e">
        <v>#NAME?</v>
      </c>
      <c r="G99" s="130" t="s">
        <v>587</v>
      </c>
    </row>
    <row r="100" spans="1:7" ht="99.75" customHeight="1">
      <c r="A100" s="102">
        <v>1</v>
      </c>
      <c r="B100" s="126" t="s">
        <v>584</v>
      </c>
      <c r="C100" s="125" t="s">
        <v>585</v>
      </c>
      <c r="D100" s="126" t="s">
        <v>414</v>
      </c>
      <c r="E100" s="126" t="str">
        <f t="shared" si="0"/>
        <v>2.1.04-Slide3.JPG</v>
      </c>
      <c r="F100" s="126" t="e">
        <v>#NAME?</v>
      </c>
      <c r="G100" s="130" t="s">
        <v>588</v>
      </c>
    </row>
    <row r="101" spans="1:7" ht="99.75" customHeight="1">
      <c r="A101" s="102">
        <v>1</v>
      </c>
      <c r="B101" s="126" t="s">
        <v>589</v>
      </c>
      <c r="C101" s="125" t="s">
        <v>590</v>
      </c>
      <c r="D101" s="126" t="s">
        <v>410</v>
      </c>
      <c r="E101" s="126" t="str">
        <f t="shared" si="0"/>
        <v>2.1.05-Slide1.JPG</v>
      </c>
      <c r="F101" s="126" t="e">
        <v>#NAME?</v>
      </c>
      <c r="G101" s="130" t="s">
        <v>591</v>
      </c>
    </row>
    <row r="102" spans="1:7" ht="99.75" customHeight="1">
      <c r="A102" s="102">
        <v>1</v>
      </c>
      <c r="B102" s="126" t="s">
        <v>589</v>
      </c>
      <c r="C102" s="125" t="s">
        <v>590</v>
      </c>
      <c r="D102" s="126" t="s">
        <v>412</v>
      </c>
      <c r="E102" s="126" t="str">
        <f t="shared" si="0"/>
        <v>2.1.05-Slide2.JPG</v>
      </c>
      <c r="F102" s="126" t="e">
        <v>#NAME?</v>
      </c>
      <c r="G102" s="130" t="s">
        <v>592</v>
      </c>
    </row>
    <row r="103" spans="1:7" ht="99.75" customHeight="1">
      <c r="A103" s="102">
        <v>1</v>
      </c>
      <c r="B103" s="126" t="s">
        <v>589</v>
      </c>
      <c r="C103" s="125" t="s">
        <v>590</v>
      </c>
      <c r="D103" s="126" t="s">
        <v>414</v>
      </c>
      <c r="E103" s="126" t="str">
        <f t="shared" si="0"/>
        <v>2.1.05-Slide3.JPG</v>
      </c>
      <c r="F103" s="126" t="e">
        <v>#NAME?</v>
      </c>
      <c r="G103" s="130" t="s">
        <v>593</v>
      </c>
    </row>
    <row r="104" spans="1:7" ht="99.75" customHeight="1">
      <c r="A104" s="102">
        <v>1</v>
      </c>
      <c r="B104" s="126" t="s">
        <v>594</v>
      </c>
      <c r="C104" s="125" t="s">
        <v>595</v>
      </c>
      <c r="D104" s="126" t="s">
        <v>410</v>
      </c>
      <c r="E104" s="126" t="str">
        <f t="shared" si="0"/>
        <v>2.1.06-Slide1.JPG</v>
      </c>
      <c r="F104" s="126" t="e">
        <v>#NAME?</v>
      </c>
      <c r="G104" s="130" t="s">
        <v>596</v>
      </c>
    </row>
    <row r="105" spans="1:7" ht="99.75" customHeight="1">
      <c r="A105" s="102">
        <v>1</v>
      </c>
      <c r="B105" s="126" t="s">
        <v>594</v>
      </c>
      <c r="C105" s="125" t="s">
        <v>595</v>
      </c>
      <c r="D105" s="126" t="s">
        <v>412</v>
      </c>
      <c r="E105" s="126" t="str">
        <f t="shared" si="0"/>
        <v>2.1.06-Slide2.JPG</v>
      </c>
      <c r="F105" s="126" t="e">
        <v>#NAME?</v>
      </c>
      <c r="G105" s="130" t="s">
        <v>597</v>
      </c>
    </row>
    <row r="106" spans="1:7" ht="99.75" customHeight="1">
      <c r="A106" s="102">
        <v>1</v>
      </c>
      <c r="B106" s="126" t="s">
        <v>594</v>
      </c>
      <c r="C106" s="125" t="s">
        <v>595</v>
      </c>
      <c r="D106" s="126" t="s">
        <v>414</v>
      </c>
      <c r="E106" s="126" t="str">
        <f t="shared" si="0"/>
        <v>2.1.06-Slide3.JPG</v>
      </c>
      <c r="F106" s="126" t="e">
        <v>#NAME?</v>
      </c>
      <c r="G106" s="130" t="s">
        <v>598</v>
      </c>
    </row>
    <row r="107" spans="1:7" ht="99.75" customHeight="1">
      <c r="A107" s="102">
        <v>1</v>
      </c>
      <c r="B107" s="126" t="s">
        <v>599</v>
      </c>
      <c r="C107" s="125" t="s">
        <v>600</v>
      </c>
      <c r="D107" s="126" t="s">
        <v>410</v>
      </c>
      <c r="E107" s="126" t="str">
        <f t="shared" si="0"/>
        <v>2.1.07-Slide1.JPG</v>
      </c>
      <c r="F107" s="126" t="e">
        <v>#NAME?</v>
      </c>
      <c r="G107" s="130" t="s">
        <v>601</v>
      </c>
    </row>
    <row r="108" spans="1:7" ht="99.75" customHeight="1">
      <c r="A108" s="102">
        <v>1</v>
      </c>
      <c r="B108" s="126" t="s">
        <v>599</v>
      </c>
      <c r="C108" s="125" t="s">
        <v>600</v>
      </c>
      <c r="D108" s="126" t="s">
        <v>412</v>
      </c>
      <c r="E108" s="126" t="str">
        <f t="shared" si="0"/>
        <v>2.1.07-Slide2.JPG</v>
      </c>
      <c r="F108" s="126" t="e">
        <v>#NAME?</v>
      </c>
      <c r="G108" s="130" t="s">
        <v>602</v>
      </c>
    </row>
    <row r="109" spans="1:7" ht="99.75" customHeight="1">
      <c r="A109" s="102">
        <v>1</v>
      </c>
      <c r="B109" s="126" t="s">
        <v>599</v>
      </c>
      <c r="C109" s="125" t="s">
        <v>600</v>
      </c>
      <c r="D109" s="126" t="s">
        <v>414</v>
      </c>
      <c r="E109" s="126" t="str">
        <f t="shared" si="0"/>
        <v>2.1.07-Slide3.JPG</v>
      </c>
      <c r="F109" s="126" t="e">
        <v>#NAME?</v>
      </c>
      <c r="G109" s="130" t="s">
        <v>603</v>
      </c>
    </row>
    <row r="110" spans="1:7" ht="99.75" customHeight="1">
      <c r="A110" s="102">
        <v>1</v>
      </c>
      <c r="B110" s="126" t="s">
        <v>604</v>
      </c>
      <c r="C110" s="125" t="s">
        <v>605</v>
      </c>
      <c r="D110" s="126" t="s">
        <v>410</v>
      </c>
      <c r="E110" s="126" t="str">
        <f t="shared" si="0"/>
        <v>2.1.08-Slide1.JPG</v>
      </c>
      <c r="F110" s="126" t="e">
        <v>#NAME?</v>
      </c>
      <c r="G110" s="130" t="s">
        <v>606</v>
      </c>
    </row>
    <row r="111" spans="1:7" ht="99.75" customHeight="1">
      <c r="A111" s="102">
        <v>1</v>
      </c>
      <c r="B111" s="126" t="s">
        <v>604</v>
      </c>
      <c r="C111" s="125" t="s">
        <v>605</v>
      </c>
      <c r="D111" s="126" t="s">
        <v>412</v>
      </c>
      <c r="E111" s="126" t="str">
        <f t="shared" si="0"/>
        <v>2.1.08-Slide2.JPG</v>
      </c>
      <c r="F111" s="126" t="e">
        <v>#NAME?</v>
      </c>
      <c r="G111" s="130" t="s">
        <v>607</v>
      </c>
    </row>
    <row r="112" spans="1:7" ht="99.75" customHeight="1">
      <c r="A112" s="102">
        <v>1</v>
      </c>
      <c r="B112" s="126" t="s">
        <v>604</v>
      </c>
      <c r="C112" s="125" t="s">
        <v>605</v>
      </c>
      <c r="D112" s="126" t="s">
        <v>414</v>
      </c>
      <c r="E112" s="126" t="str">
        <f t="shared" si="0"/>
        <v>2.1.08-Slide3.JPG</v>
      </c>
      <c r="F112" s="126" t="e">
        <v>#NAME?</v>
      </c>
      <c r="G112" s="130" t="s">
        <v>608</v>
      </c>
    </row>
    <row r="113" spans="1:7" ht="99.75" customHeight="1">
      <c r="A113" s="102">
        <v>1</v>
      </c>
      <c r="B113" s="126" t="s">
        <v>609</v>
      </c>
      <c r="C113" s="125" t="s">
        <v>610</v>
      </c>
      <c r="D113" s="126" t="s">
        <v>410</v>
      </c>
      <c r="E113" s="126" t="str">
        <f t="shared" si="0"/>
        <v>2.1.09-Slide1.JPG</v>
      </c>
      <c r="F113" s="126" t="e">
        <v>#NAME?</v>
      </c>
      <c r="G113" s="130" t="s">
        <v>611</v>
      </c>
    </row>
    <row r="114" spans="1:7" ht="99.75" customHeight="1">
      <c r="A114" s="102">
        <v>1</v>
      </c>
      <c r="B114" s="126" t="s">
        <v>609</v>
      </c>
      <c r="C114" s="125" t="s">
        <v>610</v>
      </c>
      <c r="D114" s="126" t="s">
        <v>412</v>
      </c>
      <c r="E114" s="126" t="str">
        <f t="shared" si="0"/>
        <v>2.1.09-Slide2.JPG</v>
      </c>
      <c r="F114" s="126" t="e">
        <v>#NAME?</v>
      </c>
      <c r="G114" s="130" t="s">
        <v>612</v>
      </c>
    </row>
    <row r="115" spans="1:7" ht="99.75" customHeight="1">
      <c r="A115" s="102">
        <v>1</v>
      </c>
      <c r="B115" s="126" t="s">
        <v>609</v>
      </c>
      <c r="C115" s="125" t="s">
        <v>610</v>
      </c>
      <c r="D115" s="126" t="s">
        <v>414</v>
      </c>
      <c r="E115" s="126" t="str">
        <f t="shared" si="0"/>
        <v>2.1.09-Slide3.JPG</v>
      </c>
      <c r="F115" s="126" t="e">
        <v>#NAME?</v>
      </c>
      <c r="G115" s="130" t="s">
        <v>613</v>
      </c>
    </row>
    <row r="116" spans="1:7" ht="99.75" customHeight="1">
      <c r="A116" s="102">
        <v>1</v>
      </c>
      <c r="B116" s="126" t="s">
        <v>614</v>
      </c>
      <c r="C116" s="125" t="s">
        <v>615</v>
      </c>
      <c r="D116" s="126" t="s">
        <v>410</v>
      </c>
      <c r="E116" s="126" t="str">
        <f t="shared" si="0"/>
        <v>2.1.10-Slide1.JPG</v>
      </c>
      <c r="F116" s="126" t="e">
        <v>#NAME?</v>
      </c>
      <c r="G116" s="130" t="s">
        <v>616</v>
      </c>
    </row>
    <row r="117" spans="1:7" ht="99.75" customHeight="1">
      <c r="A117" s="102">
        <v>1</v>
      </c>
      <c r="B117" s="126" t="s">
        <v>614</v>
      </c>
      <c r="C117" s="125" t="s">
        <v>615</v>
      </c>
      <c r="D117" s="126" t="s">
        <v>412</v>
      </c>
      <c r="E117" s="126" t="str">
        <f t="shared" si="0"/>
        <v>2.1.10-Slide2.JPG</v>
      </c>
      <c r="F117" s="126" t="e">
        <v>#NAME?</v>
      </c>
      <c r="G117" s="130" t="s">
        <v>617</v>
      </c>
    </row>
    <row r="118" spans="1:7" ht="99.75" customHeight="1">
      <c r="A118" s="102">
        <v>1</v>
      </c>
      <c r="B118" s="126" t="s">
        <v>614</v>
      </c>
      <c r="C118" s="125" t="s">
        <v>615</v>
      </c>
      <c r="D118" s="126" t="s">
        <v>414</v>
      </c>
      <c r="E118" s="126" t="str">
        <f t="shared" si="0"/>
        <v>2.1.10-Slide3.JPG</v>
      </c>
      <c r="F118" s="126" t="e">
        <v>#NAME?</v>
      </c>
      <c r="G118" s="130" t="s">
        <v>618</v>
      </c>
    </row>
    <row r="119" spans="1:7" ht="99.75" customHeight="1">
      <c r="A119" s="102">
        <v>1</v>
      </c>
      <c r="B119" s="126" t="s">
        <v>619</v>
      </c>
      <c r="C119" s="125" t="s">
        <v>620</v>
      </c>
      <c r="D119" s="126" t="s">
        <v>410</v>
      </c>
      <c r="E119" s="126" t="str">
        <f t="shared" si="0"/>
        <v>2.1.11-Slide1.JPG</v>
      </c>
      <c r="F119" s="126" t="e">
        <v>#NAME?</v>
      </c>
      <c r="G119" s="130" t="s">
        <v>621</v>
      </c>
    </row>
    <row r="120" spans="1:7" ht="99.75" customHeight="1">
      <c r="A120" s="102">
        <v>1</v>
      </c>
      <c r="B120" s="126" t="s">
        <v>619</v>
      </c>
      <c r="C120" s="125" t="s">
        <v>620</v>
      </c>
      <c r="D120" s="126" t="s">
        <v>412</v>
      </c>
      <c r="E120" s="126" t="str">
        <f t="shared" si="0"/>
        <v>2.1.11-Slide2.JPG</v>
      </c>
      <c r="F120" s="126" t="e">
        <v>#NAME?</v>
      </c>
      <c r="G120" s="130" t="s">
        <v>622</v>
      </c>
    </row>
    <row r="121" spans="1:7" ht="99.75" customHeight="1">
      <c r="A121" s="102">
        <v>1</v>
      </c>
      <c r="B121" s="126" t="s">
        <v>619</v>
      </c>
      <c r="C121" s="125" t="s">
        <v>620</v>
      </c>
      <c r="D121" s="126" t="s">
        <v>414</v>
      </c>
      <c r="E121" s="126" t="str">
        <f t="shared" si="0"/>
        <v>2.1.11-Slide3.JPG</v>
      </c>
      <c r="F121" s="126" t="e">
        <v>#NAME?</v>
      </c>
      <c r="G121" s="130" t="s">
        <v>623</v>
      </c>
    </row>
    <row r="122" spans="1:7" ht="99.75" customHeight="1">
      <c r="A122" s="102">
        <v>1</v>
      </c>
      <c r="B122" s="126" t="s">
        <v>624</v>
      </c>
      <c r="C122" s="125" t="s">
        <v>625</v>
      </c>
      <c r="D122" s="126" t="s">
        <v>410</v>
      </c>
      <c r="E122" s="126" t="str">
        <f t="shared" si="0"/>
        <v>2.1.12-Slide1.JPG</v>
      </c>
      <c r="F122" s="126" t="e">
        <v>#NAME?</v>
      </c>
      <c r="G122" s="130" t="s">
        <v>626</v>
      </c>
    </row>
    <row r="123" spans="1:7" ht="99.75" customHeight="1">
      <c r="A123" s="102">
        <v>1</v>
      </c>
      <c r="B123" s="126" t="s">
        <v>624</v>
      </c>
      <c r="C123" s="125" t="s">
        <v>625</v>
      </c>
      <c r="D123" s="126" t="s">
        <v>412</v>
      </c>
      <c r="E123" s="126" t="str">
        <f t="shared" si="0"/>
        <v>2.1.12-Slide2.JPG</v>
      </c>
      <c r="F123" s="126" t="e">
        <v>#NAME?</v>
      </c>
      <c r="G123" s="130" t="s">
        <v>627</v>
      </c>
    </row>
    <row r="124" spans="1:7" ht="99.75" customHeight="1">
      <c r="A124" s="102">
        <v>1</v>
      </c>
      <c r="B124" s="126" t="s">
        <v>624</v>
      </c>
      <c r="C124" s="125" t="s">
        <v>625</v>
      </c>
      <c r="D124" s="126" t="s">
        <v>414</v>
      </c>
      <c r="E124" s="126" t="str">
        <f t="shared" si="0"/>
        <v>2.1.12-Slide3.JPG</v>
      </c>
      <c r="F124" s="126" t="e">
        <v>#NAME?</v>
      </c>
      <c r="G124" s="130" t="s">
        <v>628</v>
      </c>
    </row>
    <row r="125" spans="1:7" ht="99.75" customHeight="1">
      <c r="A125" s="102">
        <v>1</v>
      </c>
      <c r="B125" s="126" t="s">
        <v>629</v>
      </c>
      <c r="C125" s="125" t="s">
        <v>630</v>
      </c>
      <c r="D125" s="126" t="s">
        <v>410</v>
      </c>
      <c r="E125" s="126" t="str">
        <f t="shared" si="0"/>
        <v>2.1.13-Slide1.JPG</v>
      </c>
      <c r="F125" s="126" t="e">
        <v>#NAME?</v>
      </c>
      <c r="G125" s="130" t="s">
        <v>631</v>
      </c>
    </row>
    <row r="126" spans="1:7" ht="99.75" customHeight="1">
      <c r="A126" s="102">
        <v>1</v>
      </c>
      <c r="B126" s="126" t="s">
        <v>629</v>
      </c>
      <c r="C126" s="125" t="s">
        <v>630</v>
      </c>
      <c r="D126" s="126" t="s">
        <v>412</v>
      </c>
      <c r="E126" s="126" t="str">
        <f t="shared" si="0"/>
        <v>2.1.13-Slide2.JPG</v>
      </c>
      <c r="F126" s="126" t="e">
        <v>#NAME?</v>
      </c>
      <c r="G126" s="130" t="s">
        <v>632</v>
      </c>
    </row>
    <row r="127" spans="1:7" ht="99.75" customHeight="1">
      <c r="A127" s="102">
        <v>1</v>
      </c>
      <c r="B127" s="126" t="s">
        <v>629</v>
      </c>
      <c r="C127" s="125" t="s">
        <v>630</v>
      </c>
      <c r="D127" s="126" t="s">
        <v>414</v>
      </c>
      <c r="E127" s="126" t="str">
        <f t="shared" si="0"/>
        <v>2.1.13-Slide3.JPG</v>
      </c>
      <c r="F127" s="126" t="e">
        <v>#NAME?</v>
      </c>
      <c r="G127" s="130" t="s">
        <v>633</v>
      </c>
    </row>
    <row r="128" spans="1:7" ht="99.75" customHeight="1">
      <c r="A128" s="102">
        <v>1</v>
      </c>
      <c r="B128" s="126" t="s">
        <v>634</v>
      </c>
      <c r="C128" s="125" t="s">
        <v>635</v>
      </c>
      <c r="D128" s="126" t="s">
        <v>410</v>
      </c>
      <c r="E128" s="126" t="str">
        <f t="shared" si="0"/>
        <v>2.1.14-Slide1.JPG</v>
      </c>
      <c r="F128" s="126" t="e">
        <v>#NAME?</v>
      </c>
      <c r="G128" s="130" t="s">
        <v>636</v>
      </c>
    </row>
    <row r="129" spans="1:7" ht="99.75" customHeight="1">
      <c r="A129" s="102">
        <v>1</v>
      </c>
      <c r="B129" s="126" t="s">
        <v>634</v>
      </c>
      <c r="C129" s="125" t="s">
        <v>635</v>
      </c>
      <c r="D129" s="126" t="s">
        <v>412</v>
      </c>
      <c r="E129" s="126" t="str">
        <f t="shared" si="0"/>
        <v>2.1.14-Slide2.JPG</v>
      </c>
      <c r="F129" s="126" t="e">
        <v>#NAME?</v>
      </c>
      <c r="G129" s="130" t="s">
        <v>637</v>
      </c>
    </row>
    <row r="130" spans="1:7" ht="99.75" customHeight="1">
      <c r="A130" s="102">
        <v>1</v>
      </c>
      <c r="B130" s="126" t="s">
        <v>634</v>
      </c>
      <c r="C130" s="125" t="s">
        <v>635</v>
      </c>
      <c r="D130" s="126" t="s">
        <v>414</v>
      </c>
      <c r="E130" s="126" t="str">
        <f t="shared" si="0"/>
        <v>2.1.14-Slide3.JPG</v>
      </c>
      <c r="F130" s="126" t="e">
        <v>#NAME?</v>
      </c>
      <c r="G130" s="130" t="s">
        <v>638</v>
      </c>
    </row>
    <row r="131" spans="1:7" ht="99.75" customHeight="1">
      <c r="A131" s="102">
        <v>1</v>
      </c>
      <c r="B131" s="126" t="s">
        <v>639</v>
      </c>
      <c r="C131" s="125" t="s">
        <v>640</v>
      </c>
      <c r="D131" s="126" t="s">
        <v>410</v>
      </c>
      <c r="E131" s="126" t="str">
        <f t="shared" si="0"/>
        <v>2.1.15-Slide1.JPG</v>
      </c>
      <c r="F131" s="126" t="e">
        <v>#NAME?</v>
      </c>
      <c r="G131" s="130" t="s">
        <v>641</v>
      </c>
    </row>
    <row r="132" spans="1:7" ht="99.75" customHeight="1">
      <c r="A132" s="102">
        <v>1</v>
      </c>
      <c r="B132" s="126" t="s">
        <v>639</v>
      </c>
      <c r="C132" s="125" t="s">
        <v>640</v>
      </c>
      <c r="D132" s="126" t="s">
        <v>412</v>
      </c>
      <c r="E132" s="126" t="str">
        <f t="shared" si="0"/>
        <v>2.1.15-Slide2.JPG</v>
      </c>
      <c r="F132" s="126" t="e">
        <v>#NAME?</v>
      </c>
      <c r="G132" s="130" t="s">
        <v>642</v>
      </c>
    </row>
    <row r="133" spans="1:7" ht="99.75" customHeight="1">
      <c r="A133" s="102">
        <v>1</v>
      </c>
      <c r="B133" s="126" t="s">
        <v>639</v>
      </c>
      <c r="C133" s="125" t="s">
        <v>640</v>
      </c>
      <c r="D133" s="126" t="s">
        <v>414</v>
      </c>
      <c r="E133" s="126" t="str">
        <f t="shared" si="0"/>
        <v>2.1.15-Slide3.JPG</v>
      </c>
      <c r="F133" s="126" t="e">
        <v>#NAME?</v>
      </c>
      <c r="G133" s="130" t="s">
        <v>643</v>
      </c>
    </row>
    <row r="134" spans="1:7" ht="99.75" customHeight="1">
      <c r="A134" s="102">
        <v>1</v>
      </c>
      <c r="B134" s="126" t="s">
        <v>644</v>
      </c>
      <c r="C134" s="125" t="s">
        <v>645</v>
      </c>
      <c r="D134" s="126" t="s">
        <v>410</v>
      </c>
      <c r="E134" s="126" t="str">
        <f t="shared" si="0"/>
        <v>2.1.16-Slide1.JPG</v>
      </c>
      <c r="F134" s="126" t="e">
        <v>#NAME?</v>
      </c>
      <c r="G134" s="130" t="s">
        <v>646</v>
      </c>
    </row>
    <row r="135" spans="1:7" ht="99.75" customHeight="1">
      <c r="A135" s="102">
        <v>1</v>
      </c>
      <c r="B135" s="126" t="s">
        <v>644</v>
      </c>
      <c r="C135" s="125" t="s">
        <v>645</v>
      </c>
      <c r="D135" s="126" t="s">
        <v>412</v>
      </c>
      <c r="E135" s="126" t="str">
        <f t="shared" si="0"/>
        <v>2.1.16-Slide2.JPG</v>
      </c>
      <c r="F135" s="126" t="e">
        <v>#NAME?</v>
      </c>
      <c r="G135" s="130" t="s">
        <v>647</v>
      </c>
    </row>
    <row r="136" spans="1:7" ht="99.75" customHeight="1">
      <c r="A136" s="102">
        <v>1</v>
      </c>
      <c r="B136" s="126" t="s">
        <v>644</v>
      </c>
      <c r="C136" s="125" t="s">
        <v>645</v>
      </c>
      <c r="D136" s="126" t="s">
        <v>414</v>
      </c>
      <c r="E136" s="126" t="str">
        <f t="shared" si="0"/>
        <v>2.1.16-Slide3.JPG</v>
      </c>
      <c r="F136" s="126" t="e">
        <v>#NAME?</v>
      </c>
      <c r="G136" s="130" t="s">
        <v>648</v>
      </c>
    </row>
    <row r="137" spans="1:7" ht="99.75" customHeight="1">
      <c r="A137" s="102">
        <v>1</v>
      </c>
      <c r="B137" s="126" t="s">
        <v>649</v>
      </c>
      <c r="C137" s="125" t="s">
        <v>650</v>
      </c>
      <c r="D137" s="126" t="s">
        <v>410</v>
      </c>
      <c r="E137" s="126" t="str">
        <f t="shared" si="0"/>
        <v>2.1.17-Slide1.JPG</v>
      </c>
      <c r="F137" s="126" t="e">
        <v>#NAME?</v>
      </c>
      <c r="G137" s="130" t="s">
        <v>651</v>
      </c>
    </row>
    <row r="138" spans="1:7" ht="99.75" customHeight="1">
      <c r="A138" s="102">
        <v>1</v>
      </c>
      <c r="B138" s="126" t="s">
        <v>649</v>
      </c>
      <c r="C138" s="125" t="s">
        <v>650</v>
      </c>
      <c r="D138" s="126" t="s">
        <v>412</v>
      </c>
      <c r="E138" s="126" t="str">
        <f t="shared" si="0"/>
        <v>2.1.17-Slide2.JPG</v>
      </c>
      <c r="F138" s="126" t="e">
        <v>#NAME?</v>
      </c>
      <c r="G138" s="130" t="s">
        <v>652</v>
      </c>
    </row>
    <row r="139" spans="1:7" ht="99.75" customHeight="1">
      <c r="A139" s="102">
        <v>1</v>
      </c>
      <c r="B139" s="126" t="s">
        <v>649</v>
      </c>
      <c r="C139" s="125" t="s">
        <v>650</v>
      </c>
      <c r="D139" s="126" t="s">
        <v>414</v>
      </c>
      <c r="E139" s="126" t="str">
        <f t="shared" si="0"/>
        <v>2.1.17-Slide3.JPG</v>
      </c>
      <c r="F139" s="126" t="e">
        <v>#NAME?</v>
      </c>
      <c r="G139" s="130" t="s">
        <v>653</v>
      </c>
    </row>
    <row r="140" spans="1:7" ht="99.75" customHeight="1">
      <c r="A140" s="102">
        <v>1</v>
      </c>
      <c r="B140" s="126" t="s">
        <v>654</v>
      </c>
      <c r="C140" s="125" t="s">
        <v>655</v>
      </c>
      <c r="D140" s="126" t="s">
        <v>410</v>
      </c>
      <c r="E140" s="126" t="str">
        <f t="shared" si="0"/>
        <v>2.1.18-Slide1.JPG</v>
      </c>
      <c r="F140" s="126" t="e">
        <v>#NAME?</v>
      </c>
      <c r="G140" s="130" t="s">
        <v>656</v>
      </c>
    </row>
    <row r="141" spans="1:7" ht="99.75" customHeight="1">
      <c r="A141" s="102">
        <v>1</v>
      </c>
      <c r="B141" s="126" t="s">
        <v>654</v>
      </c>
      <c r="C141" s="125" t="s">
        <v>655</v>
      </c>
      <c r="D141" s="126" t="s">
        <v>412</v>
      </c>
      <c r="E141" s="126" t="str">
        <f t="shared" si="0"/>
        <v>2.1.18-Slide2.JPG</v>
      </c>
      <c r="F141" s="126" t="e">
        <v>#NAME?</v>
      </c>
      <c r="G141" s="130" t="s">
        <v>657</v>
      </c>
    </row>
    <row r="142" spans="1:7" ht="99.75" customHeight="1">
      <c r="A142" s="102">
        <v>1</v>
      </c>
      <c r="B142" s="126" t="s">
        <v>654</v>
      </c>
      <c r="C142" s="125" t="s">
        <v>655</v>
      </c>
      <c r="D142" s="126" t="s">
        <v>414</v>
      </c>
      <c r="E142" s="126" t="str">
        <f t="shared" si="0"/>
        <v>2.1.18-Slide3.JPG</v>
      </c>
      <c r="F142" s="126" t="e">
        <v>#NAME?</v>
      </c>
      <c r="G142" s="130" t="s">
        <v>658</v>
      </c>
    </row>
    <row r="143" spans="1:7" ht="99.75" customHeight="1">
      <c r="A143" s="102">
        <v>1</v>
      </c>
      <c r="B143" s="126" t="s">
        <v>659</v>
      </c>
      <c r="C143" s="125" t="s">
        <v>660</v>
      </c>
      <c r="D143" s="126" t="s">
        <v>410</v>
      </c>
      <c r="E143" s="126" t="str">
        <f t="shared" si="0"/>
        <v>2.2.01-Slide1.JPG</v>
      </c>
      <c r="F143" s="126" t="e">
        <v>#NAME?</v>
      </c>
      <c r="G143" s="130" t="s">
        <v>661</v>
      </c>
    </row>
    <row r="144" spans="1:7" ht="99.75" customHeight="1">
      <c r="A144" s="102">
        <v>1</v>
      </c>
      <c r="B144" s="126" t="s">
        <v>659</v>
      </c>
      <c r="C144" s="125" t="s">
        <v>660</v>
      </c>
      <c r="D144" s="126" t="s">
        <v>412</v>
      </c>
      <c r="E144" s="126" t="str">
        <f t="shared" si="0"/>
        <v>2.2.01-Slide2.JPG</v>
      </c>
      <c r="F144" s="126" t="e">
        <v>#NAME?</v>
      </c>
      <c r="G144" s="130" t="s">
        <v>662</v>
      </c>
    </row>
    <row r="145" spans="1:7" ht="99.75" customHeight="1">
      <c r="A145" s="102">
        <v>1</v>
      </c>
      <c r="B145" s="126" t="s">
        <v>659</v>
      </c>
      <c r="C145" s="125" t="s">
        <v>660</v>
      </c>
      <c r="D145" s="126" t="s">
        <v>414</v>
      </c>
      <c r="E145" s="126" t="str">
        <f t="shared" si="0"/>
        <v>2.2.01-Slide3.JPG</v>
      </c>
      <c r="F145" s="126" t="e">
        <v>#NAME?</v>
      </c>
      <c r="G145" s="130" t="s">
        <v>663</v>
      </c>
    </row>
    <row r="146" spans="1:7" ht="99.75" customHeight="1">
      <c r="A146" s="102">
        <v>1</v>
      </c>
      <c r="B146" s="126" t="s">
        <v>664</v>
      </c>
      <c r="C146" s="125" t="s">
        <v>665</v>
      </c>
      <c r="D146" s="126" t="s">
        <v>410</v>
      </c>
      <c r="E146" s="126" t="str">
        <f t="shared" si="0"/>
        <v>2.2.02-Slide1.JPG</v>
      </c>
      <c r="F146" s="126" t="e">
        <v>#NAME?</v>
      </c>
      <c r="G146" s="130" t="s">
        <v>666</v>
      </c>
    </row>
    <row r="147" spans="1:7" ht="99.75" customHeight="1">
      <c r="A147" s="102">
        <v>1</v>
      </c>
      <c r="B147" s="126" t="s">
        <v>664</v>
      </c>
      <c r="C147" s="125" t="s">
        <v>665</v>
      </c>
      <c r="D147" s="126" t="s">
        <v>412</v>
      </c>
      <c r="E147" s="126" t="str">
        <f t="shared" si="0"/>
        <v>2.2.02-Slide2.JPG</v>
      </c>
      <c r="F147" s="126" t="e">
        <v>#NAME?</v>
      </c>
      <c r="G147" s="130" t="s">
        <v>667</v>
      </c>
    </row>
    <row r="148" spans="1:7" ht="99.75" customHeight="1">
      <c r="A148" s="102">
        <v>1</v>
      </c>
      <c r="B148" s="126" t="s">
        <v>664</v>
      </c>
      <c r="C148" s="125" t="s">
        <v>665</v>
      </c>
      <c r="D148" s="126" t="s">
        <v>414</v>
      </c>
      <c r="E148" s="126" t="str">
        <f t="shared" si="0"/>
        <v>2.2.02-Slide3.JPG</v>
      </c>
      <c r="F148" s="126" t="e">
        <v>#NAME?</v>
      </c>
      <c r="G148" s="130" t="s">
        <v>668</v>
      </c>
    </row>
    <row r="149" spans="1:7" ht="99.75" customHeight="1">
      <c r="A149" s="102">
        <v>1</v>
      </c>
      <c r="B149" s="126" t="s">
        <v>669</v>
      </c>
      <c r="C149" s="125" t="s">
        <v>670</v>
      </c>
      <c r="D149" s="126" t="s">
        <v>410</v>
      </c>
      <c r="E149" s="126" t="str">
        <f t="shared" si="0"/>
        <v>2.2.03-Slide1.JPG</v>
      </c>
      <c r="F149" s="126" t="e">
        <v>#NAME?</v>
      </c>
      <c r="G149" s="130" t="s">
        <v>671</v>
      </c>
    </row>
    <row r="150" spans="1:7" ht="99.75" customHeight="1">
      <c r="A150" s="102">
        <v>1</v>
      </c>
      <c r="B150" s="126" t="s">
        <v>669</v>
      </c>
      <c r="C150" s="125" t="s">
        <v>670</v>
      </c>
      <c r="D150" s="126" t="s">
        <v>412</v>
      </c>
      <c r="E150" s="126" t="str">
        <f t="shared" si="0"/>
        <v>2.2.03-Slide2.JPG</v>
      </c>
      <c r="F150" s="126" t="e">
        <v>#NAME?</v>
      </c>
      <c r="G150" s="130" t="s">
        <v>672</v>
      </c>
    </row>
    <row r="151" spans="1:7" ht="99.75" customHeight="1">
      <c r="A151" s="102">
        <v>1</v>
      </c>
      <c r="B151" s="126" t="s">
        <v>669</v>
      </c>
      <c r="C151" s="125" t="s">
        <v>670</v>
      </c>
      <c r="D151" s="126" t="s">
        <v>414</v>
      </c>
      <c r="E151" s="126" t="str">
        <f t="shared" si="0"/>
        <v>2.2.03-Slide3.JPG</v>
      </c>
      <c r="F151" s="126" t="e">
        <v>#NAME?</v>
      </c>
      <c r="G151" s="130" t="s">
        <v>673</v>
      </c>
    </row>
    <row r="152" spans="1:7" ht="99.75" customHeight="1">
      <c r="A152" s="102">
        <v>1</v>
      </c>
      <c r="B152" s="126" t="s">
        <v>674</v>
      </c>
      <c r="C152" s="125" t="s">
        <v>675</v>
      </c>
      <c r="D152" s="126" t="s">
        <v>410</v>
      </c>
      <c r="E152" s="126" t="str">
        <f t="shared" si="0"/>
        <v>2.2.04-Slide1.JPG</v>
      </c>
      <c r="F152" s="126" t="e">
        <v>#NAME?</v>
      </c>
      <c r="G152" s="130" t="s">
        <v>676</v>
      </c>
    </row>
    <row r="153" spans="1:7" ht="99.75" customHeight="1">
      <c r="A153" s="102">
        <v>1</v>
      </c>
      <c r="B153" s="126" t="s">
        <v>674</v>
      </c>
      <c r="C153" s="125" t="s">
        <v>675</v>
      </c>
      <c r="D153" s="126" t="s">
        <v>412</v>
      </c>
      <c r="E153" s="126" t="str">
        <f t="shared" si="0"/>
        <v>2.2.04-Slide2.JPG</v>
      </c>
      <c r="F153" s="126" t="e">
        <v>#NAME?</v>
      </c>
      <c r="G153" s="130" t="s">
        <v>677</v>
      </c>
    </row>
    <row r="154" spans="1:7" ht="99.75" customHeight="1">
      <c r="A154" s="102">
        <v>1</v>
      </c>
      <c r="B154" s="126" t="s">
        <v>674</v>
      </c>
      <c r="C154" s="125" t="s">
        <v>675</v>
      </c>
      <c r="D154" s="126" t="s">
        <v>414</v>
      </c>
      <c r="E154" s="126" t="str">
        <f t="shared" si="0"/>
        <v>2.2.04-Slide3.JPG</v>
      </c>
      <c r="F154" s="126" t="e">
        <v>#NAME?</v>
      </c>
      <c r="G154" s="130" t="s">
        <v>678</v>
      </c>
    </row>
    <row r="155" spans="1:7" ht="99.75" customHeight="1">
      <c r="A155" s="102">
        <v>1</v>
      </c>
      <c r="B155" s="126" t="s">
        <v>679</v>
      </c>
      <c r="C155" s="125" t="s">
        <v>680</v>
      </c>
      <c r="D155" s="126" t="s">
        <v>410</v>
      </c>
      <c r="E155" s="126" t="str">
        <f t="shared" si="0"/>
        <v>2.2.05-Slide1.JPG</v>
      </c>
      <c r="F155" s="126" t="e">
        <v>#NAME?</v>
      </c>
      <c r="G155" s="130" t="s">
        <v>681</v>
      </c>
    </row>
    <row r="156" spans="1:7" ht="99.75" customHeight="1">
      <c r="A156" s="102">
        <v>1</v>
      </c>
      <c r="B156" s="126" t="s">
        <v>679</v>
      </c>
      <c r="C156" s="125" t="s">
        <v>680</v>
      </c>
      <c r="D156" s="126" t="s">
        <v>412</v>
      </c>
      <c r="E156" s="126" t="str">
        <f t="shared" si="0"/>
        <v>2.2.05-Slide2.JPG</v>
      </c>
      <c r="F156" s="126" t="e">
        <v>#NAME?</v>
      </c>
      <c r="G156" s="130" t="s">
        <v>682</v>
      </c>
    </row>
    <row r="157" spans="1:7" ht="99.75" customHeight="1">
      <c r="A157" s="102">
        <v>1</v>
      </c>
      <c r="B157" s="126" t="s">
        <v>679</v>
      </c>
      <c r="C157" s="125" t="s">
        <v>680</v>
      </c>
      <c r="D157" s="126" t="s">
        <v>414</v>
      </c>
      <c r="E157" s="126" t="str">
        <f t="shared" si="0"/>
        <v>2.2.05-Slide3.JPG</v>
      </c>
      <c r="F157" s="126" t="e">
        <v>#NAME?</v>
      </c>
      <c r="G157" s="130" t="s">
        <v>683</v>
      </c>
    </row>
    <row r="158" spans="1:7" ht="99.75" customHeight="1">
      <c r="A158" s="102">
        <v>1</v>
      </c>
      <c r="B158" s="126" t="s">
        <v>684</v>
      </c>
      <c r="C158" s="125" t="s">
        <v>685</v>
      </c>
      <c r="D158" s="126" t="s">
        <v>410</v>
      </c>
      <c r="E158" s="126" t="str">
        <f t="shared" si="0"/>
        <v>2.2.06-Slide1.JPG</v>
      </c>
      <c r="F158" s="126" t="e">
        <v>#NAME?</v>
      </c>
      <c r="G158" s="130" t="s">
        <v>686</v>
      </c>
    </row>
    <row r="159" spans="1:7" ht="99.75" customHeight="1">
      <c r="A159" s="102">
        <v>1</v>
      </c>
      <c r="B159" s="126" t="s">
        <v>684</v>
      </c>
      <c r="C159" s="125" t="s">
        <v>685</v>
      </c>
      <c r="D159" s="126" t="s">
        <v>412</v>
      </c>
      <c r="E159" s="126" t="str">
        <f t="shared" si="0"/>
        <v>2.2.06-Slide2.JPG</v>
      </c>
      <c r="F159" s="126" t="e">
        <v>#NAME?</v>
      </c>
      <c r="G159" s="130" t="s">
        <v>687</v>
      </c>
    </row>
    <row r="160" spans="1:7" ht="99.75" customHeight="1">
      <c r="A160" s="102">
        <v>1</v>
      </c>
      <c r="B160" s="126" t="s">
        <v>684</v>
      </c>
      <c r="C160" s="125" t="s">
        <v>685</v>
      </c>
      <c r="D160" s="126" t="s">
        <v>414</v>
      </c>
      <c r="E160" s="126" t="str">
        <f t="shared" si="0"/>
        <v>2.2.06-Slide3.JPG</v>
      </c>
      <c r="F160" s="126" t="e">
        <v>#NAME?</v>
      </c>
      <c r="G160" s="130" t="s">
        <v>688</v>
      </c>
    </row>
    <row r="161" spans="1:7" ht="99.75" customHeight="1">
      <c r="A161" s="102">
        <v>1</v>
      </c>
      <c r="B161" s="126" t="s">
        <v>689</v>
      </c>
      <c r="C161" s="125" t="s">
        <v>690</v>
      </c>
      <c r="D161" s="126" t="s">
        <v>410</v>
      </c>
      <c r="E161" s="126" t="str">
        <f t="shared" si="0"/>
        <v>2.2.07-Slide1.JPG</v>
      </c>
      <c r="F161" s="126" t="e">
        <v>#NAME?</v>
      </c>
      <c r="G161" s="130" t="s">
        <v>691</v>
      </c>
    </row>
    <row r="162" spans="1:7" ht="99.75" customHeight="1">
      <c r="A162" s="102">
        <v>1</v>
      </c>
      <c r="B162" s="126" t="s">
        <v>689</v>
      </c>
      <c r="C162" s="125" t="s">
        <v>690</v>
      </c>
      <c r="D162" s="126" t="s">
        <v>412</v>
      </c>
      <c r="E162" s="126" t="str">
        <f t="shared" si="0"/>
        <v>2.2.07-Slide2.JPG</v>
      </c>
      <c r="F162" s="126" t="e">
        <v>#NAME?</v>
      </c>
      <c r="G162" s="130" t="s">
        <v>692</v>
      </c>
    </row>
    <row r="163" spans="1:7" ht="99.75" customHeight="1">
      <c r="A163" s="102">
        <v>1</v>
      </c>
      <c r="B163" s="126" t="s">
        <v>689</v>
      </c>
      <c r="C163" s="125" t="s">
        <v>690</v>
      </c>
      <c r="D163" s="126" t="s">
        <v>414</v>
      </c>
      <c r="E163" s="126" t="str">
        <f t="shared" si="0"/>
        <v>2.2.07-Slide3.JPG</v>
      </c>
      <c r="F163" s="126" t="e">
        <v>#NAME?</v>
      </c>
      <c r="G163" s="130" t="s">
        <v>693</v>
      </c>
    </row>
    <row r="164" spans="1:7" ht="99.75" customHeight="1">
      <c r="A164" s="102">
        <v>1</v>
      </c>
      <c r="B164" s="126" t="s">
        <v>694</v>
      </c>
      <c r="C164" s="125" t="s">
        <v>695</v>
      </c>
      <c r="D164" s="126" t="s">
        <v>410</v>
      </c>
      <c r="E164" s="126" t="str">
        <f t="shared" si="0"/>
        <v>2.2.08-Slide1.JPG</v>
      </c>
      <c r="F164" s="126" t="e">
        <v>#NAME?</v>
      </c>
      <c r="G164" s="130" t="s">
        <v>696</v>
      </c>
    </row>
    <row r="165" spans="1:7" ht="99.75" customHeight="1">
      <c r="A165" s="102">
        <v>1</v>
      </c>
      <c r="B165" s="126" t="s">
        <v>694</v>
      </c>
      <c r="C165" s="125" t="s">
        <v>695</v>
      </c>
      <c r="D165" s="126" t="s">
        <v>412</v>
      </c>
      <c r="E165" s="126" t="str">
        <f t="shared" si="0"/>
        <v>2.2.08-Slide2.JPG</v>
      </c>
      <c r="F165" s="126" t="e">
        <v>#NAME?</v>
      </c>
      <c r="G165" s="130" t="s">
        <v>697</v>
      </c>
    </row>
    <row r="166" spans="1:7" ht="99.75" customHeight="1">
      <c r="A166" s="102">
        <v>1</v>
      </c>
      <c r="B166" s="126" t="s">
        <v>694</v>
      </c>
      <c r="C166" s="125" t="s">
        <v>695</v>
      </c>
      <c r="D166" s="126" t="s">
        <v>414</v>
      </c>
      <c r="E166" s="126" t="str">
        <f t="shared" si="0"/>
        <v>2.2.08-Slide3.JPG</v>
      </c>
      <c r="F166" s="126" t="e">
        <v>#NAME?</v>
      </c>
      <c r="G166" s="130" t="s">
        <v>698</v>
      </c>
    </row>
    <row r="167" spans="1:7" ht="99.75" customHeight="1">
      <c r="A167" s="102">
        <v>1</v>
      </c>
      <c r="B167" s="126" t="s">
        <v>699</v>
      </c>
      <c r="C167" s="125" t="s">
        <v>700</v>
      </c>
      <c r="D167" s="126" t="s">
        <v>410</v>
      </c>
      <c r="E167" s="126" t="str">
        <f t="shared" si="0"/>
        <v>2.2.09-Slide1.JPG</v>
      </c>
      <c r="F167" s="126" t="e">
        <v>#NAME?</v>
      </c>
      <c r="G167" s="130" t="s">
        <v>701</v>
      </c>
    </row>
    <row r="168" spans="1:7" ht="99.75" customHeight="1">
      <c r="A168" s="102">
        <v>1</v>
      </c>
      <c r="B168" s="126" t="s">
        <v>699</v>
      </c>
      <c r="C168" s="125" t="s">
        <v>700</v>
      </c>
      <c r="D168" s="126" t="s">
        <v>412</v>
      </c>
      <c r="E168" s="126" t="str">
        <f t="shared" si="0"/>
        <v>2.2.09-Slide2.JPG</v>
      </c>
      <c r="F168" s="126" t="e">
        <v>#NAME?</v>
      </c>
      <c r="G168" s="130" t="s">
        <v>702</v>
      </c>
    </row>
    <row r="169" spans="1:7" ht="99.75" customHeight="1">
      <c r="A169" s="102">
        <v>1</v>
      </c>
      <c r="B169" s="126" t="s">
        <v>699</v>
      </c>
      <c r="C169" s="125" t="s">
        <v>700</v>
      </c>
      <c r="D169" s="126" t="s">
        <v>414</v>
      </c>
      <c r="E169" s="126" t="str">
        <f t="shared" si="0"/>
        <v>2.2.09-Slide3.JPG</v>
      </c>
      <c r="F169" s="126" t="e">
        <v>#NAME?</v>
      </c>
      <c r="G169" s="130" t="s">
        <v>703</v>
      </c>
    </row>
    <row r="170" spans="1:7" ht="99.75" customHeight="1">
      <c r="A170" s="102">
        <v>1</v>
      </c>
      <c r="B170" s="126" t="s">
        <v>704</v>
      </c>
      <c r="C170" s="125" t="s">
        <v>705</v>
      </c>
      <c r="D170" s="126" t="s">
        <v>410</v>
      </c>
      <c r="E170" s="126" t="str">
        <f t="shared" si="0"/>
        <v>2.2.10-Slide1.JPG</v>
      </c>
      <c r="F170" s="126" t="e">
        <v>#NAME?</v>
      </c>
      <c r="G170" s="130" t="s">
        <v>706</v>
      </c>
    </row>
    <row r="171" spans="1:7" ht="99.75" customHeight="1">
      <c r="A171" s="102">
        <v>1</v>
      </c>
      <c r="B171" s="126" t="s">
        <v>704</v>
      </c>
      <c r="C171" s="125" t="s">
        <v>705</v>
      </c>
      <c r="D171" s="126" t="s">
        <v>412</v>
      </c>
      <c r="E171" s="126" t="str">
        <f t="shared" si="0"/>
        <v>2.2.10-Slide2.JPG</v>
      </c>
      <c r="F171" s="126" t="e">
        <v>#NAME?</v>
      </c>
      <c r="G171" s="130" t="s">
        <v>707</v>
      </c>
    </row>
    <row r="172" spans="1:7" ht="99.75" customHeight="1">
      <c r="A172" s="102">
        <v>1</v>
      </c>
      <c r="B172" s="126" t="s">
        <v>704</v>
      </c>
      <c r="C172" s="125" t="s">
        <v>705</v>
      </c>
      <c r="D172" s="126" t="s">
        <v>414</v>
      </c>
      <c r="E172" s="126" t="str">
        <f t="shared" si="0"/>
        <v>2.2.10-Slide3.JPG</v>
      </c>
      <c r="F172" s="126" t="e">
        <v>#NAME?</v>
      </c>
      <c r="G172" s="130" t="s">
        <v>708</v>
      </c>
    </row>
    <row r="173" spans="1:7" ht="99.75" customHeight="1">
      <c r="A173" s="102">
        <v>1</v>
      </c>
      <c r="B173" s="126" t="s">
        <v>709</v>
      </c>
      <c r="C173" s="125" t="s">
        <v>710</v>
      </c>
      <c r="D173" s="126" t="s">
        <v>410</v>
      </c>
      <c r="E173" s="126" t="str">
        <f t="shared" si="0"/>
        <v>2.2.11-Slide1.JPG</v>
      </c>
      <c r="F173" s="126" t="e">
        <v>#NAME?</v>
      </c>
      <c r="G173" s="130" t="s">
        <v>711</v>
      </c>
    </row>
    <row r="174" spans="1:7" ht="99.75" customHeight="1">
      <c r="A174" s="102">
        <v>1</v>
      </c>
      <c r="B174" s="126" t="s">
        <v>709</v>
      </c>
      <c r="C174" s="125" t="s">
        <v>710</v>
      </c>
      <c r="D174" s="126" t="s">
        <v>412</v>
      </c>
      <c r="E174" s="126" t="str">
        <f t="shared" si="0"/>
        <v>2.2.11-Slide2.JPG</v>
      </c>
      <c r="F174" s="126" t="e">
        <v>#NAME?</v>
      </c>
      <c r="G174" s="130" t="s">
        <v>712</v>
      </c>
    </row>
    <row r="175" spans="1:7" ht="99.75" customHeight="1">
      <c r="A175" s="102">
        <v>1</v>
      </c>
      <c r="B175" s="126" t="s">
        <v>709</v>
      </c>
      <c r="C175" s="125" t="s">
        <v>710</v>
      </c>
      <c r="D175" s="126" t="s">
        <v>414</v>
      </c>
      <c r="E175" s="126" t="str">
        <f t="shared" si="0"/>
        <v>2.2.11-Slide3.JPG</v>
      </c>
      <c r="F175" s="126" t="e">
        <v>#NAME?</v>
      </c>
      <c r="G175" s="130" t="s">
        <v>713</v>
      </c>
    </row>
    <row r="176" spans="1:7" ht="99.75" customHeight="1">
      <c r="A176" s="102">
        <v>1</v>
      </c>
      <c r="B176" s="126" t="s">
        <v>714</v>
      </c>
      <c r="C176" s="125" t="s">
        <v>715</v>
      </c>
      <c r="D176" s="126" t="s">
        <v>410</v>
      </c>
      <c r="E176" s="126" t="str">
        <f t="shared" si="0"/>
        <v>2.3.01-Slide1.JPG</v>
      </c>
      <c r="F176" s="126" t="e">
        <v>#NAME?</v>
      </c>
      <c r="G176" s="130" t="s">
        <v>716</v>
      </c>
    </row>
    <row r="177" spans="1:7" ht="99.75" customHeight="1">
      <c r="A177" s="102">
        <v>1</v>
      </c>
      <c r="B177" s="126" t="s">
        <v>714</v>
      </c>
      <c r="C177" s="125" t="s">
        <v>715</v>
      </c>
      <c r="D177" s="126" t="s">
        <v>412</v>
      </c>
      <c r="E177" s="126" t="str">
        <f t="shared" si="0"/>
        <v>2.3.01-Slide2.JPG</v>
      </c>
      <c r="F177" s="126" t="e">
        <v>#NAME?</v>
      </c>
      <c r="G177" s="130" t="s">
        <v>717</v>
      </c>
    </row>
    <row r="178" spans="1:7" ht="99.75" customHeight="1">
      <c r="A178" s="102">
        <v>1</v>
      </c>
      <c r="B178" s="126" t="s">
        <v>714</v>
      </c>
      <c r="C178" s="125" t="s">
        <v>715</v>
      </c>
      <c r="D178" s="126" t="s">
        <v>414</v>
      </c>
      <c r="E178" s="126" t="str">
        <f t="shared" si="0"/>
        <v>2.3.01-Slide3.JPG</v>
      </c>
      <c r="F178" s="126" t="e">
        <v>#NAME?</v>
      </c>
      <c r="G178" s="130" t="s">
        <v>718</v>
      </c>
    </row>
    <row r="179" spans="1:7" ht="99.75" customHeight="1">
      <c r="A179" s="102">
        <v>1</v>
      </c>
      <c r="B179" s="126" t="s">
        <v>719</v>
      </c>
      <c r="C179" s="125" t="s">
        <v>720</v>
      </c>
      <c r="D179" s="126" t="s">
        <v>410</v>
      </c>
      <c r="E179" s="126" t="str">
        <f t="shared" si="0"/>
        <v>2.3.02-Slide1.JPG</v>
      </c>
      <c r="F179" s="126" t="e">
        <v>#NAME?</v>
      </c>
      <c r="G179" s="130" t="s">
        <v>721</v>
      </c>
    </row>
    <row r="180" spans="1:7" ht="99.75" customHeight="1">
      <c r="A180" s="102">
        <v>1</v>
      </c>
      <c r="B180" s="126" t="s">
        <v>719</v>
      </c>
      <c r="C180" s="125" t="s">
        <v>720</v>
      </c>
      <c r="D180" s="126" t="s">
        <v>412</v>
      </c>
      <c r="E180" s="126" t="str">
        <f t="shared" si="0"/>
        <v>2.3.02-Slide2.JPG</v>
      </c>
      <c r="F180" s="126" t="e">
        <v>#NAME?</v>
      </c>
      <c r="G180" s="130" t="s">
        <v>722</v>
      </c>
    </row>
    <row r="181" spans="1:7" ht="99.75" customHeight="1">
      <c r="A181" s="102">
        <v>1</v>
      </c>
      <c r="B181" s="126" t="s">
        <v>719</v>
      </c>
      <c r="C181" s="125" t="s">
        <v>720</v>
      </c>
      <c r="D181" s="126" t="s">
        <v>414</v>
      </c>
      <c r="E181" s="126" t="str">
        <f t="shared" si="0"/>
        <v>2.3.02-Slide3.JPG</v>
      </c>
      <c r="F181" s="126" t="e">
        <v>#NAME?</v>
      </c>
      <c r="G181" s="130" t="s">
        <v>723</v>
      </c>
    </row>
    <row r="182" spans="1:7" ht="99.75" customHeight="1">
      <c r="A182" s="102">
        <v>1</v>
      </c>
      <c r="B182" s="126" t="s">
        <v>724</v>
      </c>
      <c r="C182" s="125" t="s">
        <v>725</v>
      </c>
      <c r="D182" s="126" t="s">
        <v>410</v>
      </c>
      <c r="E182" s="126" t="str">
        <f t="shared" si="0"/>
        <v>2.3.03-Slide1.JPG</v>
      </c>
      <c r="F182" s="126" t="e">
        <v>#NAME?</v>
      </c>
      <c r="G182" s="130" t="s">
        <v>726</v>
      </c>
    </row>
    <row r="183" spans="1:7" ht="99.75" customHeight="1">
      <c r="A183" s="102">
        <v>1</v>
      </c>
      <c r="B183" s="126" t="s">
        <v>724</v>
      </c>
      <c r="C183" s="125" t="s">
        <v>725</v>
      </c>
      <c r="D183" s="126" t="s">
        <v>412</v>
      </c>
      <c r="E183" s="126" t="str">
        <f t="shared" si="0"/>
        <v>2.3.03-Slide2.JPG</v>
      </c>
      <c r="F183" s="126" t="e">
        <v>#NAME?</v>
      </c>
      <c r="G183" s="130" t="s">
        <v>727</v>
      </c>
    </row>
    <row r="184" spans="1:7" ht="99.75" customHeight="1">
      <c r="A184" s="102">
        <v>1</v>
      </c>
      <c r="B184" s="126" t="s">
        <v>724</v>
      </c>
      <c r="C184" s="125" t="s">
        <v>725</v>
      </c>
      <c r="D184" s="126" t="s">
        <v>414</v>
      </c>
      <c r="E184" s="126" t="str">
        <f t="shared" si="0"/>
        <v>2.3.03-Slide3.JPG</v>
      </c>
      <c r="F184" s="126" t="e">
        <v>#NAME?</v>
      </c>
      <c r="G184" s="130" t="s">
        <v>728</v>
      </c>
    </row>
    <row r="185" spans="1:7" ht="99.75" customHeight="1">
      <c r="A185" s="102">
        <v>1</v>
      </c>
      <c r="B185" s="126" t="s">
        <v>729</v>
      </c>
      <c r="C185" s="125" t="s">
        <v>730</v>
      </c>
      <c r="D185" s="126" t="s">
        <v>410</v>
      </c>
      <c r="E185" s="126" t="str">
        <f t="shared" si="0"/>
        <v>2.3.04-Slide1.JPG</v>
      </c>
      <c r="F185" s="126" t="e">
        <v>#NAME?</v>
      </c>
      <c r="G185" s="130" t="s">
        <v>731</v>
      </c>
    </row>
    <row r="186" spans="1:7" ht="99.75" customHeight="1">
      <c r="A186" s="102">
        <v>1</v>
      </c>
      <c r="B186" s="126" t="s">
        <v>729</v>
      </c>
      <c r="C186" s="125" t="s">
        <v>730</v>
      </c>
      <c r="D186" s="126" t="s">
        <v>412</v>
      </c>
      <c r="E186" s="126" t="str">
        <f t="shared" si="0"/>
        <v>2.3.04-Slide2.JPG</v>
      </c>
      <c r="F186" s="126" t="e">
        <v>#NAME?</v>
      </c>
      <c r="G186" s="130" t="s">
        <v>732</v>
      </c>
    </row>
    <row r="187" spans="1:7" ht="99.75" customHeight="1">
      <c r="A187" s="102">
        <v>1</v>
      </c>
      <c r="B187" s="126" t="s">
        <v>729</v>
      </c>
      <c r="C187" s="125" t="s">
        <v>730</v>
      </c>
      <c r="D187" s="126" t="s">
        <v>414</v>
      </c>
      <c r="E187" s="126" t="str">
        <f t="shared" si="0"/>
        <v>2.3.04-Slide3.JPG</v>
      </c>
      <c r="F187" s="126" t="e">
        <v>#NAME?</v>
      </c>
      <c r="G187" s="130" t="s">
        <v>733</v>
      </c>
    </row>
    <row r="188" spans="1:7" ht="99.75" customHeight="1">
      <c r="A188" s="102">
        <v>1</v>
      </c>
      <c r="B188" s="126" t="s">
        <v>734</v>
      </c>
      <c r="C188" s="125" t="s">
        <v>735</v>
      </c>
      <c r="D188" s="126" t="s">
        <v>410</v>
      </c>
      <c r="E188" s="126" t="str">
        <f t="shared" si="0"/>
        <v>2.3.05-Slide1.JPG</v>
      </c>
      <c r="F188" s="126" t="e">
        <v>#NAME?</v>
      </c>
      <c r="G188" s="130" t="s">
        <v>736</v>
      </c>
    </row>
    <row r="189" spans="1:7" ht="99.75" customHeight="1">
      <c r="A189" s="102">
        <v>1</v>
      </c>
      <c r="B189" s="126" t="s">
        <v>734</v>
      </c>
      <c r="C189" s="125" t="s">
        <v>735</v>
      </c>
      <c r="D189" s="126" t="s">
        <v>412</v>
      </c>
      <c r="E189" s="126" t="str">
        <f t="shared" si="0"/>
        <v>2.3.05-Slide2.JPG</v>
      </c>
      <c r="F189" s="126" t="e">
        <v>#NAME?</v>
      </c>
      <c r="G189" s="130" t="s">
        <v>737</v>
      </c>
    </row>
    <row r="190" spans="1:7" ht="99.75" customHeight="1">
      <c r="A190" s="102">
        <v>1</v>
      </c>
      <c r="B190" s="126" t="s">
        <v>734</v>
      </c>
      <c r="C190" s="125" t="s">
        <v>735</v>
      </c>
      <c r="D190" s="126" t="s">
        <v>414</v>
      </c>
      <c r="E190" s="126" t="str">
        <f t="shared" si="0"/>
        <v>2.3.05-Slide3.JPG</v>
      </c>
      <c r="F190" s="126" t="e">
        <v>#NAME?</v>
      </c>
      <c r="G190" s="130" t="s">
        <v>738</v>
      </c>
    </row>
    <row r="191" spans="1:7" ht="99.75" customHeight="1">
      <c r="A191" s="102">
        <v>1</v>
      </c>
      <c r="B191" s="126" t="s">
        <v>739</v>
      </c>
      <c r="C191" s="125" t="s">
        <v>740</v>
      </c>
      <c r="D191" s="126" t="s">
        <v>410</v>
      </c>
      <c r="E191" s="126" t="str">
        <f t="shared" si="0"/>
        <v>2.3.06-Slide1.JPG</v>
      </c>
      <c r="F191" s="126" t="e">
        <v>#NAME?</v>
      </c>
      <c r="G191" s="130" t="s">
        <v>741</v>
      </c>
    </row>
    <row r="192" spans="1:7" ht="99.75" customHeight="1">
      <c r="A192" s="102">
        <v>1</v>
      </c>
      <c r="B192" s="126" t="s">
        <v>739</v>
      </c>
      <c r="C192" s="125" t="s">
        <v>740</v>
      </c>
      <c r="D192" s="126" t="s">
        <v>412</v>
      </c>
      <c r="E192" s="126" t="str">
        <f t="shared" si="0"/>
        <v>2.3.06-Slide2.JPG</v>
      </c>
      <c r="F192" s="126" t="e">
        <v>#NAME?</v>
      </c>
      <c r="G192" s="130" t="s">
        <v>742</v>
      </c>
    </row>
    <row r="193" spans="1:7" ht="99.75" customHeight="1">
      <c r="A193" s="102">
        <v>1</v>
      </c>
      <c r="B193" s="126" t="s">
        <v>739</v>
      </c>
      <c r="C193" s="125" t="s">
        <v>740</v>
      </c>
      <c r="D193" s="126" t="s">
        <v>414</v>
      </c>
      <c r="E193" s="126" t="str">
        <f t="shared" si="0"/>
        <v>2.3.06-Slide3.JPG</v>
      </c>
      <c r="F193" s="126" t="e">
        <v>#NAME?</v>
      </c>
      <c r="G193" s="130" t="s">
        <v>743</v>
      </c>
    </row>
    <row r="194" spans="1:7" ht="99.75" customHeight="1">
      <c r="A194" s="102">
        <v>1</v>
      </c>
      <c r="B194" s="126" t="s">
        <v>744</v>
      </c>
      <c r="C194" s="125" t="s">
        <v>745</v>
      </c>
      <c r="D194" s="126" t="s">
        <v>410</v>
      </c>
      <c r="E194" s="126" t="str">
        <f t="shared" si="0"/>
        <v>2.3.07-Slide1.JPG</v>
      </c>
      <c r="F194" s="126" t="e">
        <v>#NAME?</v>
      </c>
      <c r="G194" s="130" t="s">
        <v>746</v>
      </c>
    </row>
    <row r="195" spans="1:7" ht="99.75" customHeight="1">
      <c r="A195" s="102">
        <v>1</v>
      </c>
      <c r="B195" s="126" t="s">
        <v>744</v>
      </c>
      <c r="C195" s="125" t="s">
        <v>745</v>
      </c>
      <c r="D195" s="126" t="s">
        <v>412</v>
      </c>
      <c r="E195" s="126" t="str">
        <f t="shared" si="0"/>
        <v>2.3.07-Slide2.JPG</v>
      </c>
      <c r="F195" s="126" t="e">
        <v>#NAME?</v>
      </c>
      <c r="G195" s="130" t="s">
        <v>747</v>
      </c>
    </row>
    <row r="196" spans="1:7" ht="99.75" customHeight="1">
      <c r="A196" s="102">
        <v>1</v>
      </c>
      <c r="B196" s="126" t="s">
        <v>744</v>
      </c>
      <c r="C196" s="125" t="s">
        <v>745</v>
      </c>
      <c r="D196" s="126" t="s">
        <v>414</v>
      </c>
      <c r="E196" s="126" t="str">
        <f t="shared" si="0"/>
        <v>2.3.07-Slide3.JPG</v>
      </c>
      <c r="F196" s="126" t="e">
        <v>#NAME?</v>
      </c>
      <c r="G196" s="130" t="s">
        <v>748</v>
      </c>
    </row>
    <row r="197" spans="1:7" ht="99.75" customHeight="1">
      <c r="A197" s="102">
        <v>1</v>
      </c>
      <c r="B197" s="126" t="s">
        <v>749</v>
      </c>
      <c r="C197" s="125" t="s">
        <v>750</v>
      </c>
      <c r="D197" s="126" t="s">
        <v>410</v>
      </c>
      <c r="E197" s="126" t="str">
        <f t="shared" si="0"/>
        <v>2.3.08-Slide1.JPG</v>
      </c>
      <c r="F197" s="126" t="e">
        <v>#NAME?</v>
      </c>
      <c r="G197" s="130" t="s">
        <v>751</v>
      </c>
    </row>
    <row r="198" spans="1:7" ht="99.75" customHeight="1">
      <c r="A198" s="102">
        <v>1</v>
      </c>
      <c r="B198" s="126" t="s">
        <v>749</v>
      </c>
      <c r="C198" s="125" t="s">
        <v>750</v>
      </c>
      <c r="D198" s="126" t="s">
        <v>412</v>
      </c>
      <c r="E198" s="126" t="str">
        <f t="shared" si="0"/>
        <v>2.3.08-Slide2.JPG</v>
      </c>
      <c r="F198" s="126" t="e">
        <v>#NAME?</v>
      </c>
      <c r="G198" s="130" t="s">
        <v>752</v>
      </c>
    </row>
    <row r="199" spans="1:7" ht="99.75" customHeight="1">
      <c r="A199" s="102">
        <v>1</v>
      </c>
      <c r="B199" s="126" t="s">
        <v>749</v>
      </c>
      <c r="C199" s="125" t="s">
        <v>750</v>
      </c>
      <c r="D199" s="126" t="s">
        <v>414</v>
      </c>
      <c r="E199" s="126" t="str">
        <f t="shared" si="0"/>
        <v>2.3.08-Slide3.JPG</v>
      </c>
      <c r="F199" s="126" t="e">
        <v>#NAME?</v>
      </c>
      <c r="G199" s="130" t="s">
        <v>753</v>
      </c>
    </row>
    <row r="200" spans="1:7" ht="99.75" customHeight="1">
      <c r="A200" s="102">
        <v>1</v>
      </c>
      <c r="B200" s="126" t="s">
        <v>754</v>
      </c>
      <c r="C200" s="125" t="s">
        <v>755</v>
      </c>
      <c r="D200" s="126" t="s">
        <v>410</v>
      </c>
      <c r="E200" s="126" t="str">
        <f t="shared" si="0"/>
        <v>3.1.01-Slide1.JPG</v>
      </c>
      <c r="F200" s="126" t="e">
        <v>#NAME?</v>
      </c>
      <c r="G200" s="130" t="s">
        <v>756</v>
      </c>
    </row>
    <row r="201" spans="1:7" ht="99.75" customHeight="1">
      <c r="A201" s="102">
        <v>1</v>
      </c>
      <c r="B201" s="126" t="s">
        <v>754</v>
      </c>
      <c r="C201" s="125" t="s">
        <v>755</v>
      </c>
      <c r="D201" s="126" t="s">
        <v>412</v>
      </c>
      <c r="E201" s="126" t="str">
        <f t="shared" si="0"/>
        <v>3.1.01-Slide2.JPG</v>
      </c>
      <c r="F201" s="126" t="e">
        <v>#NAME?</v>
      </c>
      <c r="G201" s="130" t="s">
        <v>757</v>
      </c>
    </row>
    <row r="202" spans="1:7" ht="99.75" customHeight="1">
      <c r="A202" s="102">
        <v>1</v>
      </c>
      <c r="B202" s="126" t="s">
        <v>754</v>
      </c>
      <c r="C202" s="125" t="s">
        <v>755</v>
      </c>
      <c r="D202" s="126" t="s">
        <v>414</v>
      </c>
      <c r="E202" s="126" t="str">
        <f t="shared" si="0"/>
        <v>3.1.01-Slide3.JPG</v>
      </c>
      <c r="F202" s="126" t="e">
        <v>#NAME?</v>
      </c>
      <c r="G202" s="130" t="s">
        <v>758</v>
      </c>
    </row>
    <row r="203" spans="1:7" ht="99.75" customHeight="1">
      <c r="A203" s="102">
        <v>1</v>
      </c>
      <c r="B203" s="126" t="s">
        <v>759</v>
      </c>
      <c r="C203" s="125" t="s">
        <v>760</v>
      </c>
      <c r="D203" s="126" t="s">
        <v>410</v>
      </c>
      <c r="E203" s="126" t="str">
        <f t="shared" si="0"/>
        <v>3.1.02-Slide1.JPG</v>
      </c>
      <c r="F203" s="126" t="e">
        <v>#NAME?</v>
      </c>
      <c r="G203" s="130" t="s">
        <v>761</v>
      </c>
    </row>
    <row r="204" spans="1:7" ht="99.75" customHeight="1">
      <c r="A204" s="102">
        <v>1</v>
      </c>
      <c r="B204" s="126" t="s">
        <v>759</v>
      </c>
      <c r="C204" s="125" t="s">
        <v>760</v>
      </c>
      <c r="D204" s="126" t="s">
        <v>412</v>
      </c>
      <c r="E204" s="126" t="str">
        <f t="shared" si="0"/>
        <v>3.1.02-Slide2.JPG</v>
      </c>
      <c r="F204" s="126" t="e">
        <v>#NAME?</v>
      </c>
      <c r="G204" s="130" t="s">
        <v>762</v>
      </c>
    </row>
    <row r="205" spans="1:7" ht="99.75" customHeight="1">
      <c r="A205" s="102">
        <v>1</v>
      </c>
      <c r="B205" s="126" t="s">
        <v>759</v>
      </c>
      <c r="C205" s="125" t="s">
        <v>760</v>
      </c>
      <c r="D205" s="126" t="s">
        <v>414</v>
      </c>
      <c r="E205" s="126" t="str">
        <f t="shared" si="0"/>
        <v>3.1.02-Slide3.JPG</v>
      </c>
      <c r="F205" s="126" t="e">
        <v>#NAME?</v>
      </c>
      <c r="G205" s="130" t="s">
        <v>763</v>
      </c>
    </row>
    <row r="206" spans="1:7" ht="99.75" customHeight="1">
      <c r="A206" s="102">
        <v>1</v>
      </c>
      <c r="B206" s="126" t="s">
        <v>764</v>
      </c>
      <c r="C206" s="125" t="s">
        <v>765</v>
      </c>
      <c r="D206" s="126" t="s">
        <v>410</v>
      </c>
      <c r="E206" s="126" t="str">
        <f t="shared" si="0"/>
        <v>3.1.03-Slide1.JPG</v>
      </c>
      <c r="F206" s="126" t="e">
        <v>#NAME?</v>
      </c>
      <c r="G206" s="130" t="s">
        <v>766</v>
      </c>
    </row>
    <row r="207" spans="1:7" ht="99.75" customHeight="1">
      <c r="A207" s="102">
        <v>1</v>
      </c>
      <c r="B207" s="126" t="s">
        <v>764</v>
      </c>
      <c r="C207" s="125" t="s">
        <v>765</v>
      </c>
      <c r="D207" s="126" t="s">
        <v>412</v>
      </c>
      <c r="E207" s="126" t="str">
        <f t="shared" si="0"/>
        <v>3.1.03-Slide2.JPG</v>
      </c>
      <c r="F207" s="126" t="e">
        <v>#NAME?</v>
      </c>
      <c r="G207" s="130" t="s">
        <v>767</v>
      </c>
    </row>
    <row r="208" spans="1:7" ht="99.75" customHeight="1">
      <c r="A208" s="102">
        <v>1</v>
      </c>
      <c r="B208" s="126" t="s">
        <v>764</v>
      </c>
      <c r="C208" s="125" t="s">
        <v>765</v>
      </c>
      <c r="D208" s="126" t="s">
        <v>414</v>
      </c>
      <c r="E208" s="126" t="str">
        <f t="shared" si="0"/>
        <v>3.1.03-Slide3.JPG</v>
      </c>
      <c r="F208" s="126" t="e">
        <v>#NAME?</v>
      </c>
      <c r="G208" s="130" t="s">
        <v>768</v>
      </c>
    </row>
    <row r="209" spans="1:7" ht="99.75" customHeight="1">
      <c r="A209" s="102">
        <v>1</v>
      </c>
      <c r="B209" s="126" t="s">
        <v>769</v>
      </c>
      <c r="C209" s="125" t="s">
        <v>770</v>
      </c>
      <c r="D209" s="126" t="s">
        <v>410</v>
      </c>
      <c r="E209" s="126" t="str">
        <f t="shared" si="0"/>
        <v>3.1.04-Slide1.JPG</v>
      </c>
      <c r="F209" s="126" t="e">
        <v>#NAME?</v>
      </c>
      <c r="G209" s="130" t="s">
        <v>771</v>
      </c>
    </row>
    <row r="210" spans="1:7" ht="99.75" customHeight="1">
      <c r="A210" s="102">
        <v>1</v>
      </c>
      <c r="B210" s="126" t="s">
        <v>769</v>
      </c>
      <c r="C210" s="125" t="s">
        <v>770</v>
      </c>
      <c r="D210" s="126" t="s">
        <v>412</v>
      </c>
      <c r="E210" s="126" t="str">
        <f t="shared" si="0"/>
        <v>3.1.04-Slide2.JPG</v>
      </c>
      <c r="F210" s="126" t="e">
        <v>#NAME?</v>
      </c>
      <c r="G210" s="130" t="s">
        <v>772</v>
      </c>
    </row>
    <row r="211" spans="1:7" ht="99.75" customHeight="1">
      <c r="A211" s="102">
        <v>1</v>
      </c>
      <c r="B211" s="126" t="s">
        <v>769</v>
      </c>
      <c r="C211" s="125" t="s">
        <v>770</v>
      </c>
      <c r="D211" s="126" t="s">
        <v>414</v>
      </c>
      <c r="E211" s="126" t="str">
        <f t="shared" si="0"/>
        <v>3.1.04-Slide3.JPG</v>
      </c>
      <c r="F211" s="126" t="e">
        <v>#NAME?</v>
      </c>
      <c r="G211" s="130" t="s">
        <v>773</v>
      </c>
    </row>
    <row r="212" spans="1:7" ht="99.75" customHeight="1">
      <c r="A212" s="102">
        <v>1</v>
      </c>
      <c r="B212" s="126" t="s">
        <v>774</v>
      </c>
      <c r="C212" s="125" t="s">
        <v>775</v>
      </c>
      <c r="D212" s="126" t="s">
        <v>410</v>
      </c>
      <c r="E212" s="126" t="str">
        <f t="shared" si="0"/>
        <v>3.1.05-Slide1.JPG</v>
      </c>
      <c r="F212" s="126" t="e">
        <v>#NAME?</v>
      </c>
      <c r="G212" s="130" t="s">
        <v>776</v>
      </c>
    </row>
    <row r="213" spans="1:7" ht="99.75" customHeight="1">
      <c r="A213" s="102">
        <v>1</v>
      </c>
      <c r="B213" s="126" t="s">
        <v>774</v>
      </c>
      <c r="C213" s="125" t="s">
        <v>775</v>
      </c>
      <c r="D213" s="126" t="s">
        <v>412</v>
      </c>
      <c r="E213" s="126" t="str">
        <f t="shared" si="0"/>
        <v>3.1.05-Slide2.JPG</v>
      </c>
      <c r="F213" s="126" t="e">
        <v>#NAME?</v>
      </c>
      <c r="G213" s="130" t="s">
        <v>777</v>
      </c>
    </row>
    <row r="214" spans="1:7" ht="99.75" customHeight="1">
      <c r="A214" s="102">
        <v>1</v>
      </c>
      <c r="B214" s="126" t="s">
        <v>774</v>
      </c>
      <c r="C214" s="125" t="s">
        <v>775</v>
      </c>
      <c r="D214" s="126" t="s">
        <v>414</v>
      </c>
      <c r="E214" s="126" t="str">
        <f t="shared" si="0"/>
        <v>3.1.05-Slide3.JPG</v>
      </c>
      <c r="F214" s="126" t="e">
        <v>#NAME?</v>
      </c>
      <c r="G214" s="130" t="s">
        <v>778</v>
      </c>
    </row>
    <row r="215" spans="1:7" ht="99.75" customHeight="1">
      <c r="A215" s="102">
        <v>1</v>
      </c>
      <c r="B215" s="126" t="s">
        <v>779</v>
      </c>
      <c r="C215" s="125" t="s">
        <v>780</v>
      </c>
      <c r="D215" s="126" t="s">
        <v>410</v>
      </c>
      <c r="E215" s="126" t="str">
        <f t="shared" si="0"/>
        <v>3.1.06-Slide1.JPG</v>
      </c>
      <c r="F215" s="126" t="e">
        <v>#NAME?</v>
      </c>
      <c r="G215" s="130" t="s">
        <v>781</v>
      </c>
    </row>
    <row r="216" spans="1:7" ht="99.75" customHeight="1">
      <c r="A216" s="102">
        <v>1</v>
      </c>
      <c r="B216" s="126" t="s">
        <v>779</v>
      </c>
      <c r="C216" s="125" t="s">
        <v>780</v>
      </c>
      <c r="D216" s="126" t="s">
        <v>412</v>
      </c>
      <c r="E216" s="126" t="str">
        <f t="shared" si="0"/>
        <v>3.1.06-Slide2.JPG</v>
      </c>
      <c r="F216" s="126" t="e">
        <v>#NAME?</v>
      </c>
      <c r="G216" s="130" t="s">
        <v>782</v>
      </c>
    </row>
    <row r="217" spans="1:7" ht="99.75" customHeight="1">
      <c r="A217" s="102">
        <v>1</v>
      </c>
      <c r="B217" s="126" t="s">
        <v>779</v>
      </c>
      <c r="C217" s="125" t="s">
        <v>780</v>
      </c>
      <c r="D217" s="126" t="s">
        <v>414</v>
      </c>
      <c r="E217" s="126" t="str">
        <f t="shared" si="0"/>
        <v>3.1.06-Slide3.JPG</v>
      </c>
      <c r="F217" s="126" t="e">
        <v>#NAME?</v>
      </c>
      <c r="G217" s="130" t="s">
        <v>783</v>
      </c>
    </row>
    <row r="218" spans="1:7" ht="99.75" customHeight="1">
      <c r="A218" s="102">
        <v>1</v>
      </c>
      <c r="B218" s="126" t="s">
        <v>784</v>
      </c>
      <c r="C218" s="125" t="s">
        <v>785</v>
      </c>
      <c r="D218" s="126" t="s">
        <v>410</v>
      </c>
      <c r="E218" s="126" t="str">
        <f t="shared" si="0"/>
        <v>3.1.07-Slide1.JPG</v>
      </c>
      <c r="F218" s="126" t="e">
        <v>#NAME?</v>
      </c>
      <c r="G218" s="130" t="s">
        <v>786</v>
      </c>
    </row>
    <row r="219" spans="1:7" ht="99.75" customHeight="1">
      <c r="A219" s="102">
        <v>1</v>
      </c>
      <c r="B219" s="126" t="s">
        <v>784</v>
      </c>
      <c r="C219" s="125" t="s">
        <v>785</v>
      </c>
      <c r="D219" s="126" t="s">
        <v>412</v>
      </c>
      <c r="E219" s="126" t="str">
        <f t="shared" si="0"/>
        <v>3.1.07-Slide2.JPG</v>
      </c>
      <c r="F219" s="126" t="e">
        <v>#NAME?</v>
      </c>
      <c r="G219" s="130" t="s">
        <v>787</v>
      </c>
    </row>
    <row r="220" spans="1:7" ht="99.75" customHeight="1">
      <c r="A220" s="102">
        <v>1</v>
      </c>
      <c r="B220" s="126" t="s">
        <v>784</v>
      </c>
      <c r="C220" s="125" t="s">
        <v>785</v>
      </c>
      <c r="D220" s="126" t="s">
        <v>414</v>
      </c>
      <c r="E220" s="126" t="str">
        <f t="shared" si="0"/>
        <v>3.1.07-Slide3.JPG</v>
      </c>
      <c r="F220" s="126" t="e">
        <v>#NAME?</v>
      </c>
      <c r="G220" s="130" t="s">
        <v>788</v>
      </c>
    </row>
    <row r="221" spans="1:7" ht="99.75" customHeight="1">
      <c r="A221" s="102">
        <v>1</v>
      </c>
      <c r="B221" s="126" t="s">
        <v>789</v>
      </c>
      <c r="C221" s="125" t="s">
        <v>790</v>
      </c>
      <c r="D221" s="126" t="s">
        <v>410</v>
      </c>
      <c r="E221" s="126" t="str">
        <f t="shared" si="0"/>
        <v>3.1.08-Slide1.JPG</v>
      </c>
      <c r="F221" s="126" t="e">
        <v>#NAME?</v>
      </c>
      <c r="G221" s="130" t="s">
        <v>791</v>
      </c>
    </row>
    <row r="222" spans="1:7" ht="99.75" customHeight="1">
      <c r="A222" s="102">
        <v>1</v>
      </c>
      <c r="B222" s="126" t="s">
        <v>789</v>
      </c>
      <c r="C222" s="125" t="s">
        <v>790</v>
      </c>
      <c r="D222" s="126" t="s">
        <v>412</v>
      </c>
      <c r="E222" s="126" t="str">
        <f t="shared" si="0"/>
        <v>3.1.08-Slide2.JPG</v>
      </c>
      <c r="F222" s="126" t="e">
        <v>#NAME?</v>
      </c>
      <c r="G222" s="130" t="s">
        <v>792</v>
      </c>
    </row>
    <row r="223" spans="1:7" ht="99.75" customHeight="1">
      <c r="A223" s="102">
        <v>1</v>
      </c>
      <c r="B223" s="126" t="s">
        <v>789</v>
      </c>
      <c r="C223" s="125" t="s">
        <v>790</v>
      </c>
      <c r="D223" s="126" t="s">
        <v>414</v>
      </c>
      <c r="E223" s="126" t="str">
        <f t="shared" si="0"/>
        <v>3.1.08-Slide3.JPG</v>
      </c>
      <c r="F223" s="126" t="e">
        <v>#NAME?</v>
      </c>
      <c r="G223" s="130" t="s">
        <v>793</v>
      </c>
    </row>
    <row r="224" spans="1:7" ht="99.75" customHeight="1">
      <c r="A224" s="102">
        <v>1</v>
      </c>
      <c r="B224" s="126" t="s">
        <v>794</v>
      </c>
      <c r="C224" s="125" t="s">
        <v>795</v>
      </c>
      <c r="D224" s="126" t="s">
        <v>410</v>
      </c>
      <c r="E224" s="126" t="str">
        <f t="shared" si="0"/>
        <v>3.1.09-Slide1.JPG</v>
      </c>
      <c r="F224" s="126" t="e">
        <v>#NAME?</v>
      </c>
      <c r="G224" s="130" t="s">
        <v>796</v>
      </c>
    </row>
    <row r="225" spans="1:7" ht="99.75" customHeight="1">
      <c r="A225" s="102">
        <v>1</v>
      </c>
      <c r="B225" s="126" t="s">
        <v>794</v>
      </c>
      <c r="C225" s="125" t="s">
        <v>795</v>
      </c>
      <c r="D225" s="126" t="s">
        <v>412</v>
      </c>
      <c r="E225" s="126" t="str">
        <f t="shared" si="0"/>
        <v>3.1.09-Slide2.JPG</v>
      </c>
      <c r="F225" s="126" t="e">
        <v>#NAME?</v>
      </c>
      <c r="G225" s="130" t="s">
        <v>797</v>
      </c>
    </row>
    <row r="226" spans="1:7" ht="99.75" customHeight="1">
      <c r="A226" s="102">
        <v>1</v>
      </c>
      <c r="B226" s="126" t="s">
        <v>794</v>
      </c>
      <c r="C226" s="125" t="s">
        <v>795</v>
      </c>
      <c r="D226" s="126" t="s">
        <v>414</v>
      </c>
      <c r="E226" s="126" t="str">
        <f t="shared" si="0"/>
        <v>3.1.09-Slide3.JPG</v>
      </c>
      <c r="F226" s="126" t="e">
        <v>#NAME?</v>
      </c>
      <c r="G226" s="130" t="s">
        <v>798</v>
      </c>
    </row>
    <row r="227" spans="1:7" ht="99.75" customHeight="1">
      <c r="A227" s="102">
        <v>1</v>
      </c>
      <c r="B227" s="126" t="s">
        <v>799</v>
      </c>
      <c r="C227" s="125" t="s">
        <v>800</v>
      </c>
      <c r="D227" s="126" t="s">
        <v>410</v>
      </c>
      <c r="E227" s="126" t="str">
        <f t="shared" si="0"/>
        <v>3.1.10-Slide1.JPG</v>
      </c>
      <c r="F227" s="126" t="e">
        <v>#NAME?</v>
      </c>
      <c r="G227" s="130" t="s">
        <v>801</v>
      </c>
    </row>
    <row r="228" spans="1:7" ht="99.75" customHeight="1">
      <c r="A228" s="102">
        <v>1</v>
      </c>
      <c r="B228" s="126" t="s">
        <v>799</v>
      </c>
      <c r="C228" s="125" t="s">
        <v>800</v>
      </c>
      <c r="D228" s="126" t="s">
        <v>412</v>
      </c>
      <c r="E228" s="126" t="str">
        <f t="shared" si="0"/>
        <v>3.1.10-Slide2.JPG</v>
      </c>
      <c r="F228" s="126" t="e">
        <v>#NAME?</v>
      </c>
      <c r="G228" s="130" t="s">
        <v>802</v>
      </c>
    </row>
    <row r="229" spans="1:7" ht="99.75" customHeight="1">
      <c r="A229" s="102">
        <v>1</v>
      </c>
      <c r="B229" s="126" t="s">
        <v>799</v>
      </c>
      <c r="C229" s="125" t="s">
        <v>800</v>
      </c>
      <c r="D229" s="126" t="s">
        <v>414</v>
      </c>
      <c r="E229" s="126" t="str">
        <f t="shared" si="0"/>
        <v>3.1.10-Slide3.JPG</v>
      </c>
      <c r="F229" s="126" t="e">
        <v>#NAME?</v>
      </c>
      <c r="G229" s="130" t="s">
        <v>803</v>
      </c>
    </row>
    <row r="230" spans="1:7" ht="99.75" customHeight="1">
      <c r="A230" s="102">
        <v>1</v>
      </c>
      <c r="B230" s="126" t="s">
        <v>804</v>
      </c>
      <c r="C230" s="125" t="s">
        <v>805</v>
      </c>
      <c r="D230" s="126" t="s">
        <v>410</v>
      </c>
      <c r="E230" s="126" t="str">
        <f t="shared" si="0"/>
        <v>3.1.11-Slide1.JPG</v>
      </c>
      <c r="F230" s="126" t="e">
        <v>#NAME?</v>
      </c>
      <c r="G230" s="130" t="s">
        <v>806</v>
      </c>
    </row>
    <row r="231" spans="1:7" ht="99.75" customHeight="1">
      <c r="A231" s="102">
        <v>1</v>
      </c>
      <c r="B231" s="126" t="s">
        <v>804</v>
      </c>
      <c r="C231" s="125" t="s">
        <v>805</v>
      </c>
      <c r="D231" s="126" t="s">
        <v>412</v>
      </c>
      <c r="E231" s="126" t="str">
        <f t="shared" si="0"/>
        <v>3.1.11-Slide2.JPG</v>
      </c>
      <c r="F231" s="126" t="e">
        <v>#NAME?</v>
      </c>
      <c r="G231" s="130" t="s">
        <v>807</v>
      </c>
    </row>
    <row r="232" spans="1:7" ht="99.75" customHeight="1">
      <c r="A232" s="102">
        <v>1</v>
      </c>
      <c r="B232" s="126" t="s">
        <v>804</v>
      </c>
      <c r="C232" s="125" t="s">
        <v>805</v>
      </c>
      <c r="D232" s="126" t="s">
        <v>414</v>
      </c>
      <c r="E232" s="126" t="str">
        <f t="shared" si="0"/>
        <v>3.1.11-Slide3.JPG</v>
      </c>
      <c r="F232" s="126" t="e">
        <v>#NAME?</v>
      </c>
      <c r="G232" s="130" t="s">
        <v>808</v>
      </c>
    </row>
    <row r="233" spans="1:7" ht="99.75" customHeight="1">
      <c r="A233" s="102">
        <v>1</v>
      </c>
      <c r="B233" s="126" t="s">
        <v>809</v>
      </c>
      <c r="C233" s="125" t="s">
        <v>810</v>
      </c>
      <c r="D233" s="126" t="s">
        <v>410</v>
      </c>
      <c r="E233" s="126" t="str">
        <f t="shared" si="0"/>
        <v>3.1.12-Slide1.JPG</v>
      </c>
      <c r="F233" s="126" t="e">
        <v>#NAME?</v>
      </c>
      <c r="G233" s="130" t="s">
        <v>811</v>
      </c>
    </row>
    <row r="234" spans="1:7" ht="99.75" customHeight="1">
      <c r="A234" s="102">
        <v>1</v>
      </c>
      <c r="B234" s="126" t="s">
        <v>809</v>
      </c>
      <c r="C234" s="125" t="s">
        <v>810</v>
      </c>
      <c r="D234" s="126" t="s">
        <v>412</v>
      </c>
      <c r="E234" s="126" t="str">
        <f t="shared" si="0"/>
        <v>3.1.12-Slide2.JPG</v>
      </c>
      <c r="F234" s="126" t="e">
        <v>#NAME?</v>
      </c>
      <c r="G234" s="130" t="s">
        <v>812</v>
      </c>
    </row>
    <row r="235" spans="1:7" ht="99.75" customHeight="1">
      <c r="A235" s="102">
        <v>1</v>
      </c>
      <c r="B235" s="126" t="s">
        <v>809</v>
      </c>
      <c r="C235" s="125" t="s">
        <v>810</v>
      </c>
      <c r="D235" s="126" t="s">
        <v>414</v>
      </c>
      <c r="E235" s="126" t="str">
        <f t="shared" si="0"/>
        <v>3.1.12-Slide3.JPG</v>
      </c>
      <c r="F235" s="126" t="e">
        <v>#NAME?</v>
      </c>
      <c r="G235" s="130" t="s">
        <v>813</v>
      </c>
    </row>
    <row r="236" spans="1:7" ht="99.75" customHeight="1">
      <c r="A236" s="102">
        <v>1</v>
      </c>
      <c r="B236" s="126" t="s">
        <v>814</v>
      </c>
      <c r="C236" s="125" t="s">
        <v>815</v>
      </c>
      <c r="D236" s="126" t="s">
        <v>410</v>
      </c>
      <c r="E236" s="126" t="str">
        <f t="shared" si="0"/>
        <v>3.1.13-Slide1.JPG</v>
      </c>
      <c r="F236" s="126" t="e">
        <v>#NAME?</v>
      </c>
      <c r="G236" s="130" t="s">
        <v>816</v>
      </c>
    </row>
    <row r="237" spans="1:7" ht="99.75" customHeight="1">
      <c r="A237" s="102">
        <v>1</v>
      </c>
      <c r="B237" s="126" t="s">
        <v>814</v>
      </c>
      <c r="C237" s="125" t="s">
        <v>815</v>
      </c>
      <c r="D237" s="126" t="s">
        <v>412</v>
      </c>
      <c r="E237" s="126" t="str">
        <f t="shared" si="0"/>
        <v>3.1.13-Slide2.JPG</v>
      </c>
      <c r="F237" s="126" t="e">
        <v>#NAME?</v>
      </c>
      <c r="G237" s="130" t="s">
        <v>817</v>
      </c>
    </row>
    <row r="238" spans="1:7" ht="99.75" customHeight="1">
      <c r="A238" s="102">
        <v>1</v>
      </c>
      <c r="B238" s="126" t="s">
        <v>814</v>
      </c>
      <c r="C238" s="125" t="s">
        <v>815</v>
      </c>
      <c r="D238" s="126" t="s">
        <v>414</v>
      </c>
      <c r="E238" s="126" t="str">
        <f t="shared" si="0"/>
        <v>3.1.13-Slide3.JPG</v>
      </c>
      <c r="F238" s="126" t="e">
        <v>#NAME?</v>
      </c>
      <c r="G238" s="130" t="s">
        <v>818</v>
      </c>
    </row>
    <row r="239" spans="1:7" ht="99.75" customHeight="1">
      <c r="A239" s="102">
        <v>1</v>
      </c>
      <c r="B239" s="126" t="s">
        <v>819</v>
      </c>
      <c r="C239" s="125" t="s">
        <v>820</v>
      </c>
      <c r="D239" s="126" t="s">
        <v>410</v>
      </c>
      <c r="E239" s="126" t="str">
        <f t="shared" si="0"/>
        <v>3.1.14-Slide1.JPG</v>
      </c>
      <c r="F239" s="126" t="e">
        <v>#NAME?</v>
      </c>
      <c r="G239" s="130" t="s">
        <v>821</v>
      </c>
    </row>
    <row r="240" spans="1:7" ht="99.75" customHeight="1">
      <c r="A240" s="102">
        <v>1</v>
      </c>
      <c r="B240" s="126" t="s">
        <v>819</v>
      </c>
      <c r="C240" s="125" t="s">
        <v>820</v>
      </c>
      <c r="D240" s="126" t="s">
        <v>412</v>
      </c>
      <c r="E240" s="126" t="str">
        <f t="shared" si="0"/>
        <v>3.1.14-Slide2.JPG</v>
      </c>
      <c r="F240" s="126" t="e">
        <v>#NAME?</v>
      </c>
      <c r="G240" s="130" t="s">
        <v>822</v>
      </c>
    </row>
    <row r="241" spans="1:7" ht="99.75" customHeight="1">
      <c r="A241" s="102">
        <v>1</v>
      </c>
      <c r="B241" s="126" t="s">
        <v>819</v>
      </c>
      <c r="C241" s="125" t="s">
        <v>820</v>
      </c>
      <c r="D241" s="126" t="s">
        <v>414</v>
      </c>
      <c r="E241" s="126" t="str">
        <f t="shared" si="0"/>
        <v>3.1.14-Slide3.JPG</v>
      </c>
      <c r="F241" s="126" t="e">
        <v>#NAME?</v>
      </c>
      <c r="G241" s="130" t="s">
        <v>823</v>
      </c>
    </row>
    <row r="242" spans="1:7" ht="99.75" customHeight="1">
      <c r="A242" s="102">
        <v>1</v>
      </c>
      <c r="B242" s="126" t="s">
        <v>824</v>
      </c>
      <c r="C242" s="125" t="s">
        <v>825</v>
      </c>
      <c r="D242" s="126" t="s">
        <v>410</v>
      </c>
      <c r="E242" s="126" t="str">
        <f t="shared" si="0"/>
        <v>3.1.15-Slide1.JPG</v>
      </c>
      <c r="F242" s="126" t="e">
        <v>#NAME?</v>
      </c>
      <c r="G242" s="130" t="s">
        <v>826</v>
      </c>
    </row>
    <row r="243" spans="1:7" ht="99.75" customHeight="1">
      <c r="A243" s="102">
        <v>1</v>
      </c>
      <c r="B243" s="126" t="s">
        <v>824</v>
      </c>
      <c r="C243" s="125" t="s">
        <v>825</v>
      </c>
      <c r="D243" s="126" t="s">
        <v>412</v>
      </c>
      <c r="E243" s="126" t="str">
        <f t="shared" si="0"/>
        <v>3.1.15-Slide2.JPG</v>
      </c>
      <c r="F243" s="126" t="e">
        <v>#NAME?</v>
      </c>
      <c r="G243" s="130" t="s">
        <v>827</v>
      </c>
    </row>
    <row r="244" spans="1:7" ht="99.75" customHeight="1">
      <c r="A244" s="102">
        <v>1</v>
      </c>
      <c r="B244" s="126" t="s">
        <v>824</v>
      </c>
      <c r="C244" s="125" t="s">
        <v>825</v>
      </c>
      <c r="D244" s="126" t="s">
        <v>414</v>
      </c>
      <c r="E244" s="126" t="str">
        <f t="shared" si="0"/>
        <v>3.1.15-Slide3.JPG</v>
      </c>
      <c r="F244" s="126" t="e">
        <v>#NAME?</v>
      </c>
      <c r="G244" s="130" t="s">
        <v>828</v>
      </c>
    </row>
    <row r="245" spans="1:7" ht="99.75" customHeight="1">
      <c r="A245" s="102">
        <v>1</v>
      </c>
      <c r="B245" s="126" t="s">
        <v>829</v>
      </c>
      <c r="C245" s="125" t="s">
        <v>830</v>
      </c>
      <c r="D245" s="126" t="s">
        <v>410</v>
      </c>
      <c r="E245" s="126" t="str">
        <f t="shared" si="0"/>
        <v>3.1.16-Slide1.JPG</v>
      </c>
      <c r="F245" s="126" t="e">
        <v>#NAME?</v>
      </c>
      <c r="G245" s="130" t="s">
        <v>831</v>
      </c>
    </row>
    <row r="246" spans="1:7" ht="99.75" customHeight="1">
      <c r="A246" s="102">
        <v>1</v>
      </c>
      <c r="B246" s="126" t="s">
        <v>829</v>
      </c>
      <c r="C246" s="125" t="s">
        <v>830</v>
      </c>
      <c r="D246" s="126" t="s">
        <v>412</v>
      </c>
      <c r="E246" s="126" t="str">
        <f t="shared" si="0"/>
        <v>3.1.16-Slide2.JPG</v>
      </c>
      <c r="F246" s="126" t="e">
        <v>#NAME?</v>
      </c>
      <c r="G246" s="130" t="s">
        <v>832</v>
      </c>
    </row>
    <row r="247" spans="1:7" ht="99.75" customHeight="1">
      <c r="A247" s="102">
        <v>1</v>
      </c>
      <c r="B247" s="126" t="s">
        <v>829</v>
      </c>
      <c r="C247" s="125" t="s">
        <v>830</v>
      </c>
      <c r="D247" s="126" t="s">
        <v>414</v>
      </c>
      <c r="E247" s="126" t="str">
        <f t="shared" si="0"/>
        <v>3.1.16-Slide3.JPG</v>
      </c>
      <c r="F247" s="126" t="e">
        <v>#NAME?</v>
      </c>
      <c r="G247" s="130" t="s">
        <v>833</v>
      </c>
    </row>
    <row r="248" spans="1:7" ht="99.75" customHeight="1">
      <c r="A248" s="102">
        <v>1</v>
      </c>
      <c r="B248" s="126" t="s">
        <v>834</v>
      </c>
      <c r="C248" s="125" t="s">
        <v>835</v>
      </c>
      <c r="D248" s="126" t="s">
        <v>410</v>
      </c>
      <c r="E248" s="126" t="str">
        <f t="shared" si="0"/>
        <v>3.1.17-Slide1.JPG</v>
      </c>
      <c r="F248" s="126" t="e">
        <v>#NAME?</v>
      </c>
      <c r="G248" s="130" t="s">
        <v>836</v>
      </c>
    </row>
    <row r="249" spans="1:7" ht="99.75" customHeight="1">
      <c r="A249" s="102">
        <v>1</v>
      </c>
      <c r="B249" s="126" t="s">
        <v>834</v>
      </c>
      <c r="C249" s="125" t="s">
        <v>835</v>
      </c>
      <c r="D249" s="126" t="s">
        <v>412</v>
      </c>
      <c r="E249" s="126" t="str">
        <f t="shared" si="0"/>
        <v>3.1.17-Slide2.JPG</v>
      </c>
      <c r="F249" s="126" t="e">
        <v>#NAME?</v>
      </c>
      <c r="G249" s="130" t="s">
        <v>837</v>
      </c>
    </row>
    <row r="250" spans="1:7" ht="99.75" customHeight="1">
      <c r="A250" s="102">
        <v>1</v>
      </c>
      <c r="B250" s="126" t="s">
        <v>834</v>
      </c>
      <c r="C250" s="125" t="s">
        <v>835</v>
      </c>
      <c r="D250" s="126" t="s">
        <v>414</v>
      </c>
      <c r="E250" s="126" t="str">
        <f t="shared" si="0"/>
        <v>3.1.17-Slide3.JPG</v>
      </c>
      <c r="F250" s="126" t="e">
        <v>#NAME?</v>
      </c>
      <c r="G250" s="130" t="s">
        <v>838</v>
      </c>
    </row>
    <row r="251" spans="1:7" ht="99.75" customHeight="1">
      <c r="A251" s="102">
        <v>1</v>
      </c>
      <c r="B251" s="126" t="s">
        <v>839</v>
      </c>
      <c r="C251" s="125" t="s">
        <v>840</v>
      </c>
      <c r="D251" s="126" t="s">
        <v>410</v>
      </c>
      <c r="E251" s="126" t="str">
        <f t="shared" si="0"/>
        <v>3.1.18-Slide1.JPG</v>
      </c>
      <c r="F251" s="126" t="e">
        <v>#NAME?</v>
      </c>
      <c r="G251" s="130" t="s">
        <v>841</v>
      </c>
    </row>
    <row r="252" spans="1:7" ht="99.75" customHeight="1">
      <c r="A252" s="102">
        <v>1</v>
      </c>
      <c r="B252" s="126" t="s">
        <v>839</v>
      </c>
      <c r="C252" s="125" t="s">
        <v>840</v>
      </c>
      <c r="D252" s="126" t="s">
        <v>412</v>
      </c>
      <c r="E252" s="126" t="str">
        <f t="shared" si="0"/>
        <v>3.1.18-Slide2.JPG</v>
      </c>
      <c r="F252" s="126" t="e">
        <v>#NAME?</v>
      </c>
      <c r="G252" s="130" t="s">
        <v>842</v>
      </c>
    </row>
    <row r="253" spans="1:7" ht="99.75" customHeight="1">
      <c r="A253" s="102">
        <v>1</v>
      </c>
      <c r="B253" s="126" t="s">
        <v>839</v>
      </c>
      <c r="C253" s="125" t="s">
        <v>840</v>
      </c>
      <c r="D253" s="126" t="s">
        <v>414</v>
      </c>
      <c r="E253" s="126" t="str">
        <f t="shared" si="0"/>
        <v>3.1.18-Slide3.JPG</v>
      </c>
      <c r="F253" s="126" t="e">
        <v>#NAME?</v>
      </c>
      <c r="G253" s="130" t="s">
        <v>843</v>
      </c>
    </row>
    <row r="254" spans="1:7" ht="99.75" customHeight="1">
      <c r="A254" s="102">
        <v>1</v>
      </c>
      <c r="B254" s="126" t="s">
        <v>844</v>
      </c>
      <c r="C254" s="125" t="s">
        <v>845</v>
      </c>
      <c r="D254" s="126" t="s">
        <v>410</v>
      </c>
      <c r="E254" s="126" t="str">
        <f t="shared" si="0"/>
        <v>3.1.19-Slide1.JPG</v>
      </c>
      <c r="F254" s="126" t="e">
        <v>#NAME?</v>
      </c>
      <c r="G254" s="130" t="s">
        <v>846</v>
      </c>
    </row>
    <row r="255" spans="1:7" ht="99.75" customHeight="1">
      <c r="A255" s="102">
        <v>1</v>
      </c>
      <c r="B255" s="126" t="s">
        <v>844</v>
      </c>
      <c r="C255" s="125" t="s">
        <v>845</v>
      </c>
      <c r="D255" s="126" t="s">
        <v>412</v>
      </c>
      <c r="E255" s="126" t="str">
        <f t="shared" si="0"/>
        <v>3.1.19-Slide2.JPG</v>
      </c>
      <c r="F255" s="126" t="e">
        <v>#NAME?</v>
      </c>
      <c r="G255" s="130" t="s">
        <v>847</v>
      </c>
    </row>
    <row r="256" spans="1:7" ht="99.75" customHeight="1">
      <c r="A256" s="102">
        <v>1</v>
      </c>
      <c r="B256" s="126" t="s">
        <v>844</v>
      </c>
      <c r="C256" s="125" t="s">
        <v>845</v>
      </c>
      <c r="D256" s="126" t="s">
        <v>414</v>
      </c>
      <c r="E256" s="126" t="str">
        <f t="shared" si="0"/>
        <v>3.1.19-Slide3.JPG</v>
      </c>
      <c r="F256" s="126" t="e">
        <v>#NAME?</v>
      </c>
      <c r="G256" s="130" t="s">
        <v>848</v>
      </c>
    </row>
    <row r="257" spans="1:7" ht="99.75" customHeight="1">
      <c r="A257" s="102">
        <v>1</v>
      </c>
      <c r="B257" s="126" t="s">
        <v>849</v>
      </c>
      <c r="C257" s="125" t="s">
        <v>850</v>
      </c>
      <c r="D257" s="126" t="s">
        <v>410</v>
      </c>
      <c r="E257" s="126" t="str">
        <f t="shared" ref="E257:E318" si="1">TRIM(C257&amp;"-"&amp;D257)</f>
        <v>3.1.20-Slide1.JPG</v>
      </c>
      <c r="F257" s="126" t="e">
        <v>#NAME?</v>
      </c>
      <c r="G257" s="130" t="s">
        <v>851</v>
      </c>
    </row>
    <row r="258" spans="1:7" ht="99.75" customHeight="1">
      <c r="A258" s="102">
        <v>1</v>
      </c>
      <c r="B258" s="126" t="s">
        <v>849</v>
      </c>
      <c r="C258" s="125" t="s">
        <v>850</v>
      </c>
      <c r="D258" s="126" t="s">
        <v>412</v>
      </c>
      <c r="E258" s="126" t="str">
        <f t="shared" si="1"/>
        <v>3.1.20-Slide2.JPG</v>
      </c>
      <c r="F258" s="126" t="e">
        <v>#NAME?</v>
      </c>
      <c r="G258" s="130" t="s">
        <v>852</v>
      </c>
    </row>
    <row r="259" spans="1:7" ht="99.75" customHeight="1">
      <c r="A259" s="102">
        <v>1</v>
      </c>
      <c r="B259" s="126" t="s">
        <v>849</v>
      </c>
      <c r="C259" s="125" t="s">
        <v>850</v>
      </c>
      <c r="D259" s="126" t="s">
        <v>414</v>
      </c>
      <c r="E259" s="126" t="str">
        <f t="shared" si="1"/>
        <v>3.1.20-Slide3.JPG</v>
      </c>
      <c r="F259" s="126" t="e">
        <v>#NAME?</v>
      </c>
      <c r="G259" s="130" t="s">
        <v>853</v>
      </c>
    </row>
    <row r="260" spans="1:7" ht="99.75" customHeight="1">
      <c r="A260" s="102">
        <v>1</v>
      </c>
      <c r="B260" s="126" t="s">
        <v>854</v>
      </c>
      <c r="C260" s="125" t="s">
        <v>855</v>
      </c>
      <c r="D260" s="126" t="s">
        <v>410</v>
      </c>
      <c r="E260" s="126" t="str">
        <f t="shared" si="1"/>
        <v>3.2.01-Slide1.JPG</v>
      </c>
      <c r="F260" s="126" t="e">
        <v>#NAME?</v>
      </c>
      <c r="G260" s="130" t="s">
        <v>856</v>
      </c>
    </row>
    <row r="261" spans="1:7" ht="99.75" customHeight="1">
      <c r="A261" s="102">
        <v>1</v>
      </c>
      <c r="B261" s="126" t="s">
        <v>854</v>
      </c>
      <c r="C261" s="125" t="s">
        <v>855</v>
      </c>
      <c r="D261" s="126" t="s">
        <v>412</v>
      </c>
      <c r="E261" s="126" t="str">
        <f t="shared" si="1"/>
        <v>3.2.01-Slide2.JPG</v>
      </c>
      <c r="F261" s="126" t="e">
        <v>#NAME?</v>
      </c>
      <c r="G261" s="130" t="s">
        <v>857</v>
      </c>
    </row>
    <row r="262" spans="1:7" ht="99.75" customHeight="1">
      <c r="A262" s="102">
        <v>1</v>
      </c>
      <c r="B262" s="126" t="s">
        <v>854</v>
      </c>
      <c r="C262" s="125" t="s">
        <v>855</v>
      </c>
      <c r="D262" s="126" t="s">
        <v>414</v>
      </c>
      <c r="E262" s="126" t="str">
        <f t="shared" si="1"/>
        <v>3.2.01-Slide3.JPG</v>
      </c>
      <c r="F262" s="126" t="e">
        <v>#NAME?</v>
      </c>
      <c r="G262" s="130" t="s">
        <v>858</v>
      </c>
    </row>
    <row r="263" spans="1:7" ht="99.75" customHeight="1">
      <c r="A263" s="102">
        <v>1</v>
      </c>
      <c r="B263" s="126" t="s">
        <v>859</v>
      </c>
      <c r="C263" s="125" t="s">
        <v>860</v>
      </c>
      <c r="D263" s="126" t="s">
        <v>410</v>
      </c>
      <c r="E263" s="126" t="str">
        <f t="shared" si="1"/>
        <v>3.2.02-Slide1.JPG</v>
      </c>
      <c r="F263" s="126" t="e">
        <v>#NAME?</v>
      </c>
      <c r="G263" s="130" t="s">
        <v>861</v>
      </c>
    </row>
    <row r="264" spans="1:7" ht="99.75" customHeight="1">
      <c r="A264" s="102">
        <v>1</v>
      </c>
      <c r="B264" s="126" t="s">
        <v>859</v>
      </c>
      <c r="C264" s="125" t="s">
        <v>860</v>
      </c>
      <c r="D264" s="126" t="s">
        <v>412</v>
      </c>
      <c r="E264" s="126" t="str">
        <f t="shared" si="1"/>
        <v>3.2.02-Slide2.JPG</v>
      </c>
      <c r="F264" s="126" t="e">
        <v>#NAME?</v>
      </c>
      <c r="G264" s="130" t="s">
        <v>862</v>
      </c>
    </row>
    <row r="265" spans="1:7" ht="99.75" customHeight="1">
      <c r="A265" s="102">
        <v>1</v>
      </c>
      <c r="B265" s="126" t="s">
        <v>859</v>
      </c>
      <c r="C265" s="125" t="s">
        <v>860</v>
      </c>
      <c r="D265" s="126" t="s">
        <v>414</v>
      </c>
      <c r="E265" s="126" t="str">
        <f t="shared" si="1"/>
        <v>3.2.02-Slide3.JPG</v>
      </c>
      <c r="F265" s="126" t="e">
        <v>#NAME?</v>
      </c>
      <c r="G265" s="130" t="s">
        <v>863</v>
      </c>
    </row>
    <row r="266" spans="1:7" ht="99.75" customHeight="1">
      <c r="A266" s="102">
        <v>1</v>
      </c>
      <c r="B266" s="126" t="s">
        <v>864</v>
      </c>
      <c r="C266" s="125" t="s">
        <v>865</v>
      </c>
      <c r="D266" s="126" t="s">
        <v>410</v>
      </c>
      <c r="E266" s="126" t="str">
        <f t="shared" si="1"/>
        <v>3.2.03-Slide1.JPG</v>
      </c>
      <c r="F266" s="126" t="e">
        <v>#NAME?</v>
      </c>
      <c r="G266" s="130" t="s">
        <v>866</v>
      </c>
    </row>
    <row r="267" spans="1:7" ht="99.75" customHeight="1">
      <c r="A267" s="102">
        <v>1</v>
      </c>
      <c r="B267" s="126" t="s">
        <v>864</v>
      </c>
      <c r="C267" s="125" t="s">
        <v>865</v>
      </c>
      <c r="D267" s="126" t="s">
        <v>412</v>
      </c>
      <c r="E267" s="126" t="str">
        <f t="shared" si="1"/>
        <v>3.2.03-Slide2.JPG</v>
      </c>
      <c r="F267" s="126" t="e">
        <v>#NAME?</v>
      </c>
      <c r="G267" s="130" t="s">
        <v>867</v>
      </c>
    </row>
    <row r="268" spans="1:7" ht="99.75" customHeight="1">
      <c r="A268" s="102">
        <v>1</v>
      </c>
      <c r="B268" s="126" t="s">
        <v>864</v>
      </c>
      <c r="C268" s="125" t="s">
        <v>865</v>
      </c>
      <c r="D268" s="126" t="s">
        <v>414</v>
      </c>
      <c r="E268" s="126" t="str">
        <f t="shared" si="1"/>
        <v>3.2.03-Slide3.JPG</v>
      </c>
      <c r="F268" s="126" t="e">
        <v>#NAME?</v>
      </c>
      <c r="G268" s="130" t="s">
        <v>868</v>
      </c>
    </row>
    <row r="269" spans="1:7" ht="99.75" customHeight="1">
      <c r="A269" s="102">
        <v>1</v>
      </c>
      <c r="B269" s="126" t="s">
        <v>869</v>
      </c>
      <c r="C269" s="125" t="s">
        <v>870</v>
      </c>
      <c r="D269" s="126" t="s">
        <v>410</v>
      </c>
      <c r="E269" s="126" t="str">
        <f t="shared" si="1"/>
        <v>3.2.04-Slide1.JPG</v>
      </c>
      <c r="F269" s="126" t="e">
        <v>#NAME?</v>
      </c>
      <c r="G269" s="130" t="s">
        <v>871</v>
      </c>
    </row>
    <row r="270" spans="1:7" ht="99.75" customHeight="1">
      <c r="A270" s="102">
        <v>1</v>
      </c>
      <c r="B270" s="126" t="s">
        <v>869</v>
      </c>
      <c r="C270" s="125" t="s">
        <v>870</v>
      </c>
      <c r="D270" s="126" t="s">
        <v>412</v>
      </c>
      <c r="E270" s="126" t="str">
        <f t="shared" si="1"/>
        <v>3.2.04-Slide2.JPG</v>
      </c>
      <c r="F270" s="126" t="e">
        <v>#NAME?</v>
      </c>
      <c r="G270" s="130" t="s">
        <v>872</v>
      </c>
    </row>
    <row r="271" spans="1:7" ht="99.75" customHeight="1">
      <c r="A271" s="102">
        <v>1</v>
      </c>
      <c r="B271" s="126" t="s">
        <v>869</v>
      </c>
      <c r="C271" s="125" t="s">
        <v>870</v>
      </c>
      <c r="D271" s="126" t="s">
        <v>414</v>
      </c>
      <c r="E271" s="126" t="str">
        <f t="shared" si="1"/>
        <v>3.2.04-Slide3.JPG</v>
      </c>
      <c r="F271" s="126" t="e">
        <v>#NAME?</v>
      </c>
      <c r="G271" s="130" t="s">
        <v>873</v>
      </c>
    </row>
    <row r="272" spans="1:7" ht="99.75" customHeight="1">
      <c r="A272" s="102">
        <v>1</v>
      </c>
      <c r="B272" s="126" t="s">
        <v>874</v>
      </c>
      <c r="C272" s="125" t="s">
        <v>875</v>
      </c>
      <c r="D272" s="126" t="s">
        <v>410</v>
      </c>
      <c r="E272" s="126" t="str">
        <f t="shared" si="1"/>
        <v>3.2.05-Slide1.JPG</v>
      </c>
      <c r="F272" s="126" t="e">
        <v>#NAME?</v>
      </c>
      <c r="G272" s="130" t="s">
        <v>876</v>
      </c>
    </row>
    <row r="273" spans="1:7" ht="99.75" customHeight="1">
      <c r="A273" s="102">
        <v>1</v>
      </c>
      <c r="B273" s="126" t="s">
        <v>874</v>
      </c>
      <c r="C273" s="125" t="s">
        <v>875</v>
      </c>
      <c r="D273" s="126" t="s">
        <v>412</v>
      </c>
      <c r="E273" s="126" t="str">
        <f t="shared" si="1"/>
        <v>3.2.05-Slide2.JPG</v>
      </c>
      <c r="F273" s="126" t="e">
        <v>#NAME?</v>
      </c>
      <c r="G273" s="130" t="s">
        <v>877</v>
      </c>
    </row>
    <row r="274" spans="1:7" ht="99.75" customHeight="1">
      <c r="A274" s="102">
        <v>1</v>
      </c>
      <c r="B274" s="126" t="s">
        <v>874</v>
      </c>
      <c r="C274" s="125" t="s">
        <v>875</v>
      </c>
      <c r="D274" s="126" t="s">
        <v>414</v>
      </c>
      <c r="E274" s="126" t="str">
        <f t="shared" si="1"/>
        <v>3.2.05-Slide3.JPG</v>
      </c>
      <c r="F274" s="126" t="e">
        <v>#NAME?</v>
      </c>
      <c r="G274" s="130" t="s">
        <v>878</v>
      </c>
    </row>
    <row r="275" spans="1:7" ht="99.75" customHeight="1">
      <c r="A275" s="102">
        <v>1</v>
      </c>
      <c r="B275" s="126" t="s">
        <v>879</v>
      </c>
      <c r="C275" s="125" t="s">
        <v>880</v>
      </c>
      <c r="D275" s="126" t="s">
        <v>410</v>
      </c>
      <c r="E275" s="126" t="str">
        <f t="shared" si="1"/>
        <v>3.2.06-Slide1.JPG</v>
      </c>
      <c r="F275" s="126" t="e">
        <v>#NAME?</v>
      </c>
      <c r="G275" s="130" t="s">
        <v>881</v>
      </c>
    </row>
    <row r="276" spans="1:7" ht="99.75" customHeight="1">
      <c r="A276" s="102">
        <v>1</v>
      </c>
      <c r="B276" s="126" t="s">
        <v>879</v>
      </c>
      <c r="C276" s="125" t="s">
        <v>880</v>
      </c>
      <c r="D276" s="126" t="s">
        <v>412</v>
      </c>
      <c r="E276" s="126" t="str">
        <f t="shared" si="1"/>
        <v>3.2.06-Slide2.JPG</v>
      </c>
      <c r="F276" s="126" t="e">
        <v>#NAME?</v>
      </c>
      <c r="G276" s="130" t="s">
        <v>882</v>
      </c>
    </row>
    <row r="277" spans="1:7" ht="99.75" customHeight="1">
      <c r="A277" s="102">
        <v>1</v>
      </c>
      <c r="B277" s="126" t="s">
        <v>879</v>
      </c>
      <c r="C277" s="125" t="s">
        <v>880</v>
      </c>
      <c r="D277" s="126" t="s">
        <v>414</v>
      </c>
      <c r="E277" s="126" t="str">
        <f t="shared" si="1"/>
        <v>3.2.06-Slide3.JPG</v>
      </c>
      <c r="F277" s="126" t="e">
        <v>#NAME?</v>
      </c>
      <c r="G277" s="130" t="s">
        <v>883</v>
      </c>
    </row>
    <row r="278" spans="1:7" ht="99.75" customHeight="1">
      <c r="A278" s="102">
        <v>1</v>
      </c>
      <c r="B278" s="126" t="s">
        <v>884</v>
      </c>
      <c r="C278" s="125" t="s">
        <v>885</v>
      </c>
      <c r="D278" s="126" t="s">
        <v>410</v>
      </c>
      <c r="E278" s="126" t="str">
        <f t="shared" si="1"/>
        <v>3.2.07-Slide1.JPG</v>
      </c>
      <c r="F278" s="126" t="e">
        <v>#NAME?</v>
      </c>
      <c r="G278" s="130" t="s">
        <v>886</v>
      </c>
    </row>
    <row r="279" spans="1:7" ht="99.75" customHeight="1">
      <c r="A279" s="102">
        <v>1</v>
      </c>
      <c r="B279" s="126" t="s">
        <v>884</v>
      </c>
      <c r="C279" s="125" t="s">
        <v>885</v>
      </c>
      <c r="D279" s="126" t="s">
        <v>412</v>
      </c>
      <c r="E279" s="126" t="str">
        <f t="shared" si="1"/>
        <v>3.2.07-Slide2.JPG</v>
      </c>
      <c r="F279" s="126" t="e">
        <v>#NAME?</v>
      </c>
      <c r="G279" s="130" t="s">
        <v>887</v>
      </c>
    </row>
    <row r="280" spans="1:7" ht="99.75" customHeight="1">
      <c r="A280" s="102">
        <v>1</v>
      </c>
      <c r="B280" s="126" t="s">
        <v>884</v>
      </c>
      <c r="C280" s="125" t="s">
        <v>885</v>
      </c>
      <c r="D280" s="126" t="s">
        <v>414</v>
      </c>
      <c r="E280" s="126" t="str">
        <f t="shared" si="1"/>
        <v>3.2.07-Slide3.JPG</v>
      </c>
      <c r="F280" s="126" t="e">
        <v>#NAME?</v>
      </c>
      <c r="G280" s="130" t="s">
        <v>888</v>
      </c>
    </row>
    <row r="281" spans="1:7" ht="99.75" customHeight="1">
      <c r="A281" s="102">
        <v>1</v>
      </c>
      <c r="B281" s="126" t="s">
        <v>889</v>
      </c>
      <c r="C281" s="125" t="s">
        <v>890</v>
      </c>
      <c r="D281" s="126" t="s">
        <v>410</v>
      </c>
      <c r="E281" s="126" t="str">
        <f t="shared" si="1"/>
        <v>3.2.08-Slide1.JPG</v>
      </c>
      <c r="F281" s="126" t="e">
        <v>#NAME?</v>
      </c>
      <c r="G281" s="130" t="s">
        <v>891</v>
      </c>
    </row>
    <row r="282" spans="1:7" ht="99.75" customHeight="1">
      <c r="A282" s="102">
        <v>1</v>
      </c>
      <c r="B282" s="126" t="s">
        <v>889</v>
      </c>
      <c r="C282" s="125" t="s">
        <v>890</v>
      </c>
      <c r="D282" s="126" t="s">
        <v>412</v>
      </c>
      <c r="E282" s="126" t="str">
        <f t="shared" si="1"/>
        <v>3.2.08-Slide2.JPG</v>
      </c>
      <c r="F282" s="126" t="e">
        <v>#NAME?</v>
      </c>
      <c r="G282" s="130" t="s">
        <v>892</v>
      </c>
    </row>
    <row r="283" spans="1:7" ht="99.75" customHeight="1">
      <c r="A283" s="102">
        <v>1</v>
      </c>
      <c r="B283" s="126" t="s">
        <v>889</v>
      </c>
      <c r="C283" s="125" t="s">
        <v>890</v>
      </c>
      <c r="D283" s="126" t="s">
        <v>414</v>
      </c>
      <c r="E283" s="126" t="str">
        <f t="shared" si="1"/>
        <v>3.2.08-Slide3.JPG</v>
      </c>
      <c r="F283" s="126" t="e">
        <v>#NAME?</v>
      </c>
      <c r="G283" s="130" t="s">
        <v>893</v>
      </c>
    </row>
    <row r="284" spans="1:7" ht="99.75" customHeight="1">
      <c r="A284" s="102">
        <v>1</v>
      </c>
      <c r="B284" s="126" t="s">
        <v>894</v>
      </c>
      <c r="C284" s="125" t="s">
        <v>895</v>
      </c>
      <c r="D284" s="126" t="s">
        <v>410</v>
      </c>
      <c r="E284" s="126" t="str">
        <f t="shared" si="1"/>
        <v>3.2.09-Slide1.JPG</v>
      </c>
      <c r="F284" s="126" t="e">
        <v>#NAME?</v>
      </c>
      <c r="G284" s="130" t="s">
        <v>896</v>
      </c>
    </row>
    <row r="285" spans="1:7" ht="99.75" customHeight="1">
      <c r="A285" s="102">
        <v>1</v>
      </c>
      <c r="B285" s="126" t="s">
        <v>894</v>
      </c>
      <c r="C285" s="125" t="s">
        <v>895</v>
      </c>
      <c r="D285" s="126" t="s">
        <v>412</v>
      </c>
      <c r="E285" s="126" t="str">
        <f t="shared" si="1"/>
        <v>3.2.09-Slide2.JPG</v>
      </c>
      <c r="F285" s="126" t="e">
        <v>#NAME?</v>
      </c>
      <c r="G285" s="130" t="s">
        <v>897</v>
      </c>
    </row>
    <row r="286" spans="1:7" ht="99.75" customHeight="1">
      <c r="A286" s="102">
        <v>1</v>
      </c>
      <c r="B286" s="126" t="s">
        <v>894</v>
      </c>
      <c r="C286" s="125" t="s">
        <v>895</v>
      </c>
      <c r="D286" s="126" t="s">
        <v>414</v>
      </c>
      <c r="E286" s="126" t="str">
        <f t="shared" si="1"/>
        <v>3.2.09-Slide3.JPG</v>
      </c>
      <c r="F286" s="126" t="e">
        <v>#NAME?</v>
      </c>
      <c r="G286" s="130" t="s">
        <v>898</v>
      </c>
    </row>
    <row r="287" spans="1:7" ht="99.75" customHeight="1">
      <c r="A287" s="102">
        <v>2</v>
      </c>
      <c r="B287" s="126" t="s">
        <v>899</v>
      </c>
      <c r="C287" s="125"/>
      <c r="D287" s="126" t="s">
        <v>410</v>
      </c>
      <c r="E287" s="126" t="str">
        <f t="shared" si="1"/>
        <v>-Slide1.JPG</v>
      </c>
      <c r="F287" s="126" t="e">
        <v>#NAME?</v>
      </c>
      <c r="G287" s="130" t="s">
        <v>900</v>
      </c>
    </row>
    <row r="288" spans="1:7" ht="99.75" customHeight="1">
      <c r="A288" s="102">
        <v>2</v>
      </c>
      <c r="B288" s="126" t="s">
        <v>899</v>
      </c>
      <c r="C288" s="125"/>
      <c r="D288" s="126" t="s">
        <v>901</v>
      </c>
      <c r="E288" s="126" t="str">
        <f t="shared" si="1"/>
        <v>-Slide10.JPG</v>
      </c>
      <c r="F288" s="126" t="e">
        <v>#NAME?</v>
      </c>
      <c r="G288" s="130" t="s">
        <v>902</v>
      </c>
    </row>
    <row r="289" spans="1:7" ht="99.75" customHeight="1">
      <c r="A289" s="102">
        <v>2</v>
      </c>
      <c r="B289" s="126" t="s">
        <v>899</v>
      </c>
      <c r="C289" s="125"/>
      <c r="D289" s="126" t="s">
        <v>903</v>
      </c>
      <c r="E289" s="126" t="str">
        <f t="shared" si="1"/>
        <v>-Slide11.JPG</v>
      </c>
      <c r="F289" s="126" t="e">
        <v>#NAME?</v>
      </c>
      <c r="G289" s="130" t="s">
        <v>904</v>
      </c>
    </row>
    <row r="290" spans="1:7" ht="99.75" customHeight="1">
      <c r="A290" s="102">
        <v>2</v>
      </c>
      <c r="B290" s="126" t="s">
        <v>899</v>
      </c>
      <c r="C290" s="125"/>
      <c r="D290" s="126" t="s">
        <v>905</v>
      </c>
      <c r="E290" s="126" t="str">
        <f t="shared" si="1"/>
        <v>-Slide12.JPG</v>
      </c>
      <c r="F290" s="126" t="e">
        <v>#NAME?</v>
      </c>
      <c r="G290" s="130" t="s">
        <v>906</v>
      </c>
    </row>
    <row r="291" spans="1:7" ht="99.75" customHeight="1">
      <c r="A291" s="102">
        <v>2</v>
      </c>
      <c r="B291" s="126" t="s">
        <v>899</v>
      </c>
      <c r="C291" s="125"/>
      <c r="D291" s="126" t="s">
        <v>907</v>
      </c>
      <c r="E291" s="126" t="str">
        <f t="shared" si="1"/>
        <v>-Slide13.JPG</v>
      </c>
      <c r="F291" s="126" t="e">
        <v>#NAME?</v>
      </c>
      <c r="G291" s="130" t="s">
        <v>908</v>
      </c>
    </row>
    <row r="292" spans="1:7" ht="99.75" customHeight="1">
      <c r="A292" s="102">
        <v>2</v>
      </c>
      <c r="B292" s="126" t="s">
        <v>899</v>
      </c>
      <c r="C292" s="125"/>
      <c r="D292" s="126" t="s">
        <v>909</v>
      </c>
      <c r="E292" s="126" t="str">
        <f t="shared" si="1"/>
        <v>-Slide14.jpg</v>
      </c>
      <c r="F292" s="126" t="e">
        <v>#NAME?</v>
      </c>
      <c r="G292" s="130" t="s">
        <v>910</v>
      </c>
    </row>
    <row r="293" spans="1:7" ht="99.75" customHeight="1">
      <c r="A293" s="102">
        <v>2</v>
      </c>
      <c r="B293" s="126" t="s">
        <v>899</v>
      </c>
      <c r="C293" s="125"/>
      <c r="D293" s="126" t="s">
        <v>911</v>
      </c>
      <c r="E293" s="126" t="str">
        <f t="shared" si="1"/>
        <v>-Slide15.JPG</v>
      </c>
      <c r="F293" s="126" t="e">
        <v>#NAME?</v>
      </c>
      <c r="G293" s="130" t="s">
        <v>912</v>
      </c>
    </row>
    <row r="294" spans="1:7" ht="99.75" customHeight="1">
      <c r="A294" s="102">
        <v>2</v>
      </c>
      <c r="B294" s="126" t="s">
        <v>899</v>
      </c>
      <c r="C294" s="125"/>
      <c r="D294" s="126" t="s">
        <v>913</v>
      </c>
      <c r="E294" s="126" t="str">
        <f t="shared" si="1"/>
        <v>-Slide16.JPG</v>
      </c>
      <c r="F294" s="126" t="e">
        <v>#NAME?</v>
      </c>
      <c r="G294" s="130" t="s">
        <v>914</v>
      </c>
    </row>
    <row r="295" spans="1:7" ht="99.75" customHeight="1">
      <c r="A295" s="102">
        <v>2</v>
      </c>
      <c r="B295" s="126" t="s">
        <v>899</v>
      </c>
      <c r="C295" s="125"/>
      <c r="D295" s="126" t="s">
        <v>915</v>
      </c>
      <c r="E295" s="126" t="str">
        <f t="shared" si="1"/>
        <v>-Slide17.jpg</v>
      </c>
      <c r="F295" s="126" t="e">
        <v>#NAME?</v>
      </c>
      <c r="G295" s="130" t="s">
        <v>916</v>
      </c>
    </row>
    <row r="296" spans="1:7" ht="99.75" customHeight="1">
      <c r="A296" s="102">
        <v>2</v>
      </c>
      <c r="B296" s="126" t="s">
        <v>899</v>
      </c>
      <c r="C296" s="125"/>
      <c r="D296" s="126" t="s">
        <v>917</v>
      </c>
      <c r="E296" s="126" t="str">
        <f t="shared" si="1"/>
        <v>-Slide18.JPG</v>
      </c>
      <c r="F296" s="126" t="e">
        <v>#NAME?</v>
      </c>
      <c r="G296" s="130" t="s">
        <v>918</v>
      </c>
    </row>
    <row r="297" spans="1:7" ht="99.75" customHeight="1">
      <c r="A297" s="102">
        <v>2</v>
      </c>
      <c r="B297" s="126" t="s">
        <v>899</v>
      </c>
      <c r="C297" s="125"/>
      <c r="D297" s="126" t="s">
        <v>919</v>
      </c>
      <c r="E297" s="126" t="str">
        <f t="shared" si="1"/>
        <v>-Slide19.JPG</v>
      </c>
      <c r="F297" s="126" t="e">
        <v>#NAME?</v>
      </c>
      <c r="G297" s="130" t="s">
        <v>920</v>
      </c>
    </row>
    <row r="298" spans="1:7" ht="99.75" customHeight="1">
      <c r="A298" s="102">
        <v>2</v>
      </c>
      <c r="B298" s="126" t="s">
        <v>899</v>
      </c>
      <c r="C298" s="125"/>
      <c r="D298" s="126" t="s">
        <v>412</v>
      </c>
      <c r="E298" s="126" t="str">
        <f t="shared" si="1"/>
        <v>-Slide2.JPG</v>
      </c>
      <c r="F298" s="126" t="e">
        <v>#NAME?</v>
      </c>
      <c r="G298" s="130" t="s">
        <v>921</v>
      </c>
    </row>
    <row r="299" spans="1:7" ht="99.75" customHeight="1">
      <c r="A299" s="102">
        <v>2</v>
      </c>
      <c r="B299" s="126" t="s">
        <v>899</v>
      </c>
      <c r="C299" s="125"/>
      <c r="D299" s="126" t="s">
        <v>922</v>
      </c>
      <c r="E299" s="126" t="str">
        <f t="shared" si="1"/>
        <v>-Slide20.JPG</v>
      </c>
      <c r="F299" s="126" t="e">
        <v>#NAME?</v>
      </c>
      <c r="G299" s="130" t="s">
        <v>923</v>
      </c>
    </row>
    <row r="300" spans="1:7" ht="99.75" customHeight="1">
      <c r="A300" s="102">
        <v>2</v>
      </c>
      <c r="B300" s="126" t="s">
        <v>899</v>
      </c>
      <c r="C300" s="125"/>
      <c r="D300" s="126" t="s">
        <v>924</v>
      </c>
      <c r="E300" s="126" t="str">
        <f t="shared" si="1"/>
        <v>-Slide21.JPG</v>
      </c>
      <c r="F300" s="126" t="e">
        <v>#NAME?</v>
      </c>
      <c r="G300" s="130" t="s">
        <v>925</v>
      </c>
    </row>
    <row r="301" spans="1:7" ht="99.75" customHeight="1">
      <c r="A301" s="102">
        <v>2</v>
      </c>
      <c r="B301" s="126" t="s">
        <v>899</v>
      </c>
      <c r="C301" s="125"/>
      <c r="D301" s="126" t="s">
        <v>926</v>
      </c>
      <c r="E301" s="126" t="str">
        <f t="shared" si="1"/>
        <v>-Slide22.JPG</v>
      </c>
      <c r="F301" s="126" t="e">
        <v>#NAME?</v>
      </c>
      <c r="G301" s="130" t="s">
        <v>927</v>
      </c>
    </row>
    <row r="302" spans="1:7" ht="99.75" customHeight="1">
      <c r="A302" s="102">
        <v>2</v>
      </c>
      <c r="B302" s="126" t="s">
        <v>899</v>
      </c>
      <c r="C302" s="125"/>
      <c r="D302" s="126" t="s">
        <v>928</v>
      </c>
      <c r="E302" s="126" t="str">
        <f t="shared" si="1"/>
        <v>-Slide23.JPG</v>
      </c>
      <c r="F302" s="126" t="e">
        <v>#NAME?</v>
      </c>
      <c r="G302" s="130" t="s">
        <v>929</v>
      </c>
    </row>
    <row r="303" spans="1:7" ht="99.75" customHeight="1">
      <c r="A303" s="102">
        <v>2</v>
      </c>
      <c r="B303" s="126" t="s">
        <v>899</v>
      </c>
      <c r="C303" s="125"/>
      <c r="D303" s="126" t="s">
        <v>930</v>
      </c>
      <c r="E303" s="126" t="str">
        <f t="shared" si="1"/>
        <v>-Slide24.JPG</v>
      </c>
      <c r="F303" s="126" t="e">
        <v>#NAME?</v>
      </c>
      <c r="G303" s="130" t="s">
        <v>931</v>
      </c>
    </row>
    <row r="304" spans="1:7" ht="99.75" customHeight="1">
      <c r="A304" s="102">
        <v>2</v>
      </c>
      <c r="B304" s="126" t="s">
        <v>899</v>
      </c>
      <c r="C304" s="125"/>
      <c r="D304" s="126" t="s">
        <v>932</v>
      </c>
      <c r="E304" s="126" t="str">
        <f t="shared" si="1"/>
        <v>-Slide25.JPG</v>
      </c>
      <c r="F304" s="126" t="e">
        <v>#NAME?</v>
      </c>
      <c r="G304" s="130" t="s">
        <v>933</v>
      </c>
    </row>
    <row r="305" spans="1:7" ht="99.75" customHeight="1">
      <c r="A305" s="102">
        <v>2</v>
      </c>
      <c r="B305" s="126" t="s">
        <v>899</v>
      </c>
      <c r="C305" s="125"/>
      <c r="D305" s="126" t="s">
        <v>934</v>
      </c>
      <c r="E305" s="126" t="str">
        <f t="shared" si="1"/>
        <v>-Slide26.JPG</v>
      </c>
      <c r="F305" s="126" t="e">
        <v>#NAME?</v>
      </c>
      <c r="G305" s="130" t="s">
        <v>935</v>
      </c>
    </row>
    <row r="306" spans="1:7" ht="99.75" customHeight="1">
      <c r="A306" s="102">
        <v>2</v>
      </c>
      <c r="B306" s="126" t="s">
        <v>899</v>
      </c>
      <c r="C306" s="125"/>
      <c r="D306" s="126" t="s">
        <v>936</v>
      </c>
      <c r="E306" s="126" t="str">
        <f t="shared" si="1"/>
        <v>-Slide27.JPG</v>
      </c>
      <c r="F306" s="126" t="e">
        <v>#NAME?</v>
      </c>
      <c r="G306" s="130" t="s">
        <v>937</v>
      </c>
    </row>
    <row r="307" spans="1:7" ht="99.75" customHeight="1">
      <c r="A307" s="102">
        <v>2</v>
      </c>
      <c r="B307" s="126" t="s">
        <v>899</v>
      </c>
      <c r="C307" s="125"/>
      <c r="D307" s="126" t="s">
        <v>938</v>
      </c>
      <c r="E307" s="126" t="str">
        <f t="shared" si="1"/>
        <v>-Slide28.JPG</v>
      </c>
      <c r="F307" s="126" t="e">
        <v>#NAME?</v>
      </c>
      <c r="G307" s="130" t="s">
        <v>939</v>
      </c>
    </row>
    <row r="308" spans="1:7" ht="99.75" customHeight="1">
      <c r="A308" s="102">
        <v>2</v>
      </c>
      <c r="B308" s="126" t="s">
        <v>899</v>
      </c>
      <c r="C308" s="125"/>
      <c r="D308" s="126" t="s">
        <v>940</v>
      </c>
      <c r="E308" s="126" t="str">
        <f t="shared" si="1"/>
        <v>-Slide29.JPG</v>
      </c>
      <c r="F308" s="126" t="e">
        <v>#NAME?</v>
      </c>
      <c r="G308" s="130" t="s">
        <v>941</v>
      </c>
    </row>
    <row r="309" spans="1:7" ht="99.75" customHeight="1">
      <c r="A309" s="102">
        <v>2</v>
      </c>
      <c r="B309" s="126" t="s">
        <v>899</v>
      </c>
      <c r="C309" s="125"/>
      <c r="D309" s="126" t="s">
        <v>414</v>
      </c>
      <c r="E309" s="126" t="str">
        <f t="shared" si="1"/>
        <v>-Slide3.JPG</v>
      </c>
      <c r="F309" s="126" t="e">
        <v>#NAME?</v>
      </c>
      <c r="G309" s="130" t="s">
        <v>942</v>
      </c>
    </row>
    <row r="310" spans="1:7" ht="99.75" customHeight="1">
      <c r="A310" s="102">
        <v>2</v>
      </c>
      <c r="B310" s="126" t="s">
        <v>899</v>
      </c>
      <c r="C310" s="125"/>
      <c r="D310" s="126" t="s">
        <v>943</v>
      </c>
      <c r="E310" s="126" t="str">
        <f t="shared" si="1"/>
        <v>-Slide30.JPG</v>
      </c>
      <c r="F310" s="126" t="e">
        <v>#NAME?</v>
      </c>
      <c r="G310" s="130" t="s">
        <v>944</v>
      </c>
    </row>
    <row r="311" spans="1:7" ht="99.75" customHeight="1">
      <c r="A311" s="102">
        <v>2</v>
      </c>
      <c r="B311" s="126" t="s">
        <v>899</v>
      </c>
      <c r="C311" s="125"/>
      <c r="D311" s="126" t="s">
        <v>945</v>
      </c>
      <c r="E311" s="126" t="str">
        <f t="shared" si="1"/>
        <v>-Slide31.JPG</v>
      </c>
      <c r="F311" s="126" t="e">
        <v>#NAME?</v>
      </c>
      <c r="G311" s="130" t="s">
        <v>946</v>
      </c>
    </row>
    <row r="312" spans="1:7" ht="99.75" customHeight="1">
      <c r="A312" s="102">
        <v>2</v>
      </c>
      <c r="B312" s="126" t="s">
        <v>899</v>
      </c>
      <c r="C312" s="125"/>
      <c r="D312" s="126" t="s">
        <v>947</v>
      </c>
      <c r="E312" s="126" t="str">
        <f t="shared" si="1"/>
        <v>-Slide32.JPG</v>
      </c>
      <c r="F312" s="126" t="e">
        <v>#NAME?</v>
      </c>
      <c r="G312" s="130" t="s">
        <v>948</v>
      </c>
    </row>
    <row r="313" spans="1:7" ht="99.75" customHeight="1">
      <c r="A313" s="102">
        <v>2</v>
      </c>
      <c r="B313" s="126" t="s">
        <v>899</v>
      </c>
      <c r="C313" s="125"/>
      <c r="D313" s="126" t="s">
        <v>417</v>
      </c>
      <c r="E313" s="126" t="str">
        <f t="shared" si="1"/>
        <v>-Slide4.JPG</v>
      </c>
      <c r="F313" s="126" t="e">
        <v>#NAME?</v>
      </c>
      <c r="G313" s="130" t="s">
        <v>949</v>
      </c>
    </row>
    <row r="314" spans="1:7" ht="99.75" customHeight="1">
      <c r="A314" s="102">
        <v>2</v>
      </c>
      <c r="B314" s="126" t="s">
        <v>899</v>
      </c>
      <c r="C314" s="125"/>
      <c r="D314" s="126" t="s">
        <v>419</v>
      </c>
      <c r="E314" s="126" t="str">
        <f t="shared" si="1"/>
        <v>-Slide5.JPG</v>
      </c>
      <c r="F314" s="126" t="e">
        <v>#NAME?</v>
      </c>
      <c r="G314" s="130" t="s">
        <v>950</v>
      </c>
    </row>
    <row r="315" spans="1:7" ht="99.75" customHeight="1">
      <c r="A315" s="102">
        <v>2</v>
      </c>
      <c r="B315" s="126" t="s">
        <v>899</v>
      </c>
      <c r="C315" s="125"/>
      <c r="D315" s="126" t="s">
        <v>421</v>
      </c>
      <c r="E315" s="126" t="str">
        <f t="shared" si="1"/>
        <v>-Slide6.JPG</v>
      </c>
      <c r="F315" s="126" t="e">
        <v>#NAME?</v>
      </c>
      <c r="G315" s="130" t="s">
        <v>951</v>
      </c>
    </row>
    <row r="316" spans="1:7" ht="99.75" customHeight="1">
      <c r="A316" s="102">
        <v>2</v>
      </c>
      <c r="B316" s="126" t="s">
        <v>899</v>
      </c>
      <c r="C316" s="125"/>
      <c r="D316" s="126" t="s">
        <v>952</v>
      </c>
      <c r="E316" s="126" t="str">
        <f t="shared" si="1"/>
        <v>-Slide7.JPG</v>
      </c>
      <c r="F316" s="126" t="e">
        <v>#NAME?</v>
      </c>
      <c r="G316" s="130" t="s">
        <v>953</v>
      </c>
    </row>
    <row r="317" spans="1:7" ht="99.75" customHeight="1">
      <c r="A317" s="102">
        <v>2</v>
      </c>
      <c r="B317" s="126" t="s">
        <v>899</v>
      </c>
      <c r="C317" s="125"/>
      <c r="D317" s="126" t="s">
        <v>954</v>
      </c>
      <c r="E317" s="126" t="str">
        <f t="shared" si="1"/>
        <v>-Slide8.JPG</v>
      </c>
      <c r="F317" s="126" t="e">
        <v>#NAME?</v>
      </c>
      <c r="G317" s="130" t="s">
        <v>955</v>
      </c>
    </row>
    <row r="318" spans="1:7" ht="99.75" customHeight="1">
      <c r="A318" s="102">
        <v>2</v>
      </c>
      <c r="B318" s="126" t="s">
        <v>899</v>
      </c>
      <c r="C318" s="125"/>
      <c r="D318" s="126" t="s">
        <v>956</v>
      </c>
      <c r="E318" s="126" t="str">
        <f t="shared" si="1"/>
        <v>-Slide9.JPG</v>
      </c>
      <c r="F318" s="126" t="e">
        <v>#NAME?</v>
      </c>
      <c r="G318" s="130" t="s">
        <v>957</v>
      </c>
    </row>
    <row r="319" spans="1:7" ht="99.75" customHeight="1"/>
    <row r="320" spans="1:7" ht="99.75" customHeight="1"/>
    <row r="321" ht="99.75" customHeight="1"/>
    <row r="322" ht="99.75" customHeight="1"/>
    <row r="323" ht="99.75" customHeight="1"/>
    <row r="324" ht="99.75" customHeight="1"/>
    <row r="325" ht="99.75" customHeight="1"/>
    <row r="326" ht="99.75" customHeight="1"/>
    <row r="327" ht="99.75" customHeight="1"/>
    <row r="328" ht="99.75" customHeight="1"/>
    <row r="329" ht="99.75" customHeight="1"/>
    <row r="330" ht="99.75" customHeight="1"/>
    <row r="331" ht="99.75" customHeight="1"/>
    <row r="332" ht="99.75" customHeight="1"/>
    <row r="333" ht="99.75" customHeight="1"/>
    <row r="334" ht="99.75" customHeight="1"/>
    <row r="335" ht="99.75" customHeight="1"/>
    <row r="336" ht="99.75" customHeight="1"/>
    <row r="337" ht="99.75" customHeight="1"/>
    <row r="338" ht="99.75" customHeight="1"/>
    <row r="339" ht="99.75" customHeight="1"/>
    <row r="340" ht="99.75" customHeight="1"/>
    <row r="341" ht="99.75" customHeight="1"/>
    <row r="342" ht="99.75" customHeight="1"/>
    <row r="343" ht="99.75" customHeight="1"/>
    <row r="344" ht="99.75" customHeight="1"/>
    <row r="345" ht="99.75" customHeight="1"/>
    <row r="346" ht="99.75" customHeight="1"/>
    <row r="347" ht="99.75" customHeight="1"/>
    <row r="348" ht="99.75" customHeight="1"/>
    <row r="349" ht="99.75" customHeight="1"/>
    <row r="350" ht="99.75" customHeight="1"/>
    <row r="351" ht="99.75" customHeight="1"/>
    <row r="352" ht="99.75" customHeight="1"/>
    <row r="353" ht="99.75" customHeight="1"/>
    <row r="354" ht="99.75" customHeight="1"/>
    <row r="355" ht="99.75" customHeight="1"/>
    <row r="356" ht="99.75" customHeight="1"/>
    <row r="357" ht="99.75" customHeight="1"/>
    <row r="358" ht="99.75" customHeight="1"/>
    <row r="359" ht="99.75" customHeight="1"/>
    <row r="360" ht="99.75" customHeight="1"/>
    <row r="361" ht="99.75" customHeight="1"/>
    <row r="362" ht="99.75" customHeight="1"/>
    <row r="363" ht="99.75" customHeight="1"/>
    <row r="364" ht="99.75" customHeight="1"/>
    <row r="365" ht="99.75" customHeight="1"/>
    <row r="366" ht="99.75" customHeight="1"/>
    <row r="367" ht="99.75" customHeight="1"/>
    <row r="368" ht="99.75" customHeight="1"/>
    <row r="369" ht="99.75" customHeight="1"/>
    <row r="370" ht="99.75" customHeight="1"/>
    <row r="371" ht="99.75" customHeight="1"/>
    <row r="372" ht="99.75" customHeight="1"/>
    <row r="373" ht="99.75" customHeight="1"/>
    <row r="374" ht="99.75" customHeight="1"/>
    <row r="375" ht="99.75" customHeight="1"/>
    <row r="376" ht="99.75" customHeight="1"/>
    <row r="377" ht="99.75" customHeight="1"/>
    <row r="378" ht="99.75" customHeight="1"/>
    <row r="379" ht="99.75" customHeight="1"/>
    <row r="380" ht="99.75" customHeight="1"/>
    <row r="381" ht="99.75" customHeight="1"/>
    <row r="382" ht="99.75" customHeight="1"/>
    <row r="383" ht="99.75" customHeight="1"/>
    <row r="384" ht="99.75" customHeight="1"/>
    <row r="385" ht="99.75" customHeight="1"/>
    <row r="386" ht="99.75" customHeight="1"/>
    <row r="387" ht="99.75" customHeight="1"/>
    <row r="388" ht="99.75" customHeight="1"/>
    <row r="389" ht="99.75" customHeight="1"/>
    <row r="390" ht="99.75" customHeight="1"/>
    <row r="391" ht="99.75" customHeight="1"/>
    <row r="392" ht="99.75" customHeight="1"/>
    <row r="393" ht="99.75" customHeight="1"/>
    <row r="394" ht="99.75" customHeight="1"/>
    <row r="395" ht="99.75" customHeight="1"/>
    <row r="396" ht="99.75" customHeight="1"/>
    <row r="397" ht="99.75" customHeight="1"/>
    <row r="398" ht="99.75" customHeight="1"/>
    <row r="399" ht="99.75" customHeight="1"/>
    <row r="400" ht="99.75" customHeight="1"/>
    <row r="401" ht="99.75" customHeight="1"/>
    <row r="402" ht="99.75" customHeight="1"/>
    <row r="403" ht="99.75" customHeight="1"/>
    <row r="404" ht="99.75" customHeight="1"/>
    <row r="405" ht="99.75" customHeight="1"/>
    <row r="406" ht="99.75" customHeight="1"/>
    <row r="407" ht="99.75" customHeight="1"/>
    <row r="408" ht="99.75" customHeight="1"/>
    <row r="409" ht="99.75" customHeight="1"/>
    <row r="410" ht="99.75" customHeight="1"/>
    <row r="411" ht="99.75" customHeight="1"/>
    <row r="412" ht="99.75" customHeight="1"/>
    <row r="413" ht="99.75" customHeight="1"/>
    <row r="414" ht="99.75" customHeight="1"/>
    <row r="415" ht="99.75" customHeight="1"/>
    <row r="416" ht="99.75" customHeight="1"/>
    <row r="417" ht="99.75" customHeight="1"/>
    <row r="418" ht="99.75" customHeight="1"/>
    <row r="419" ht="99.75" customHeight="1"/>
    <row r="420" ht="99.75" customHeight="1"/>
    <row r="421" ht="99.75" customHeight="1"/>
    <row r="422" ht="99.75" customHeight="1"/>
    <row r="423" ht="99.75" customHeight="1"/>
    <row r="424" ht="99.75" customHeight="1"/>
    <row r="425" ht="99.75" customHeight="1"/>
    <row r="426" ht="99.75" customHeight="1"/>
    <row r="427" ht="99.75" customHeight="1"/>
    <row r="428" ht="99.75" customHeight="1"/>
    <row r="429" ht="99.75" customHeight="1"/>
    <row r="430" ht="99.75" customHeight="1"/>
    <row r="431" ht="99.75" customHeight="1"/>
    <row r="432" ht="99.75" customHeight="1"/>
    <row r="433" ht="99.75" customHeight="1"/>
    <row r="434" ht="99.75" customHeight="1"/>
    <row r="435" ht="99.75" customHeight="1"/>
    <row r="436" ht="99.75" customHeight="1"/>
    <row r="437" ht="99.75" customHeight="1"/>
    <row r="438" ht="99.75" customHeight="1"/>
    <row r="439" ht="99.75" customHeight="1"/>
    <row r="440" ht="99.75" customHeight="1"/>
    <row r="441" ht="99.75" customHeight="1"/>
    <row r="442" ht="99.75" customHeight="1"/>
    <row r="443" ht="99.75" customHeight="1"/>
    <row r="444" ht="99.75" customHeight="1"/>
    <row r="445" ht="99.75" customHeight="1"/>
    <row r="446" ht="99.75" customHeight="1"/>
    <row r="447" ht="99.75" customHeight="1"/>
    <row r="448" ht="99.75" customHeight="1"/>
    <row r="449" ht="99.75" customHeight="1"/>
    <row r="450" ht="99.75" customHeight="1"/>
    <row r="451" ht="99.75" customHeight="1"/>
    <row r="452" ht="99.75" customHeight="1"/>
    <row r="453" ht="99.75" customHeight="1"/>
    <row r="454" ht="99.75" customHeight="1"/>
    <row r="455" ht="99.75" customHeight="1"/>
    <row r="456" ht="99.75" customHeight="1"/>
    <row r="457" ht="99.75" customHeight="1"/>
    <row r="458" ht="99.75" customHeight="1"/>
    <row r="459" ht="99.75" customHeight="1"/>
    <row r="460" ht="99.75" customHeight="1"/>
    <row r="461" ht="99.75" customHeight="1"/>
    <row r="462" ht="99.75" customHeight="1"/>
    <row r="463" ht="99.75" customHeight="1"/>
    <row r="464" ht="99.75" customHeight="1"/>
    <row r="465" ht="99.75" customHeight="1"/>
    <row r="466" ht="99.75" customHeight="1"/>
    <row r="467" ht="99.75" customHeight="1"/>
    <row r="468" ht="99.75" customHeight="1"/>
    <row r="469" ht="99.75" customHeight="1"/>
    <row r="470" ht="99.75" customHeight="1"/>
    <row r="471" ht="99.75" customHeight="1"/>
    <row r="472" ht="99.75" customHeight="1"/>
    <row r="473" ht="99.75" customHeight="1"/>
    <row r="474" ht="99.75" customHeight="1"/>
    <row r="475" ht="99.75" customHeight="1"/>
    <row r="476" ht="99.75" customHeight="1"/>
    <row r="477" ht="99.75" customHeight="1"/>
    <row r="478" ht="99.75" customHeight="1"/>
    <row r="479" ht="99.75" customHeight="1"/>
    <row r="480" ht="99.75" customHeight="1"/>
    <row r="481" ht="99.75" customHeight="1"/>
    <row r="482" ht="99.75" customHeight="1"/>
    <row r="483" ht="99.75" customHeight="1"/>
    <row r="484" ht="99.75" customHeight="1"/>
    <row r="485" ht="99.75" customHeight="1"/>
    <row r="486" ht="99.75" customHeight="1"/>
    <row r="487" ht="99.75" customHeight="1"/>
    <row r="488" ht="99.75" customHeight="1"/>
    <row r="489" ht="99.75" customHeight="1"/>
    <row r="490" ht="99.75" customHeight="1"/>
    <row r="491" ht="99.75" customHeight="1"/>
    <row r="492" ht="99.75" customHeight="1"/>
    <row r="493" ht="99.75" customHeight="1"/>
    <row r="494" ht="99.75" customHeight="1"/>
    <row r="495" ht="99.75" customHeight="1"/>
    <row r="496" ht="99.75" customHeight="1"/>
    <row r="497" ht="99.75" customHeight="1"/>
    <row r="498" ht="99.75" customHeight="1"/>
    <row r="499" ht="99.75" customHeight="1"/>
    <row r="500" ht="99.75" customHeight="1"/>
    <row r="501" ht="99.75" customHeight="1"/>
    <row r="502" ht="99.75" customHeight="1"/>
    <row r="503" ht="99.75" customHeight="1"/>
    <row r="504" ht="99.75" customHeight="1"/>
    <row r="505" ht="99.75" customHeight="1"/>
    <row r="506" ht="99.75" customHeight="1"/>
    <row r="507" ht="99.75" customHeight="1"/>
    <row r="508" ht="99.75" customHeight="1"/>
    <row r="509" ht="99.75" customHeight="1"/>
    <row r="510" ht="99.75" customHeight="1"/>
    <row r="511" ht="99.75" customHeight="1"/>
    <row r="512" ht="99.75" customHeight="1"/>
    <row r="513" ht="99.75" customHeight="1"/>
    <row r="514" ht="99.75" customHeight="1"/>
    <row r="515" ht="99.75" customHeight="1"/>
    <row r="516" ht="99.75" customHeight="1"/>
    <row r="517" ht="99.75" customHeight="1"/>
    <row r="518" ht="99.75" customHeight="1"/>
    <row r="519" ht="99.75" customHeight="1"/>
    <row r="520" ht="99.75" customHeight="1"/>
    <row r="521" ht="99.75" customHeight="1"/>
    <row r="522" ht="99.75" customHeight="1"/>
    <row r="523" ht="99.75" customHeight="1"/>
    <row r="524" ht="99.75" customHeight="1"/>
    <row r="525" ht="99.75" customHeight="1"/>
    <row r="526" ht="99.75" customHeight="1"/>
    <row r="527" ht="99.75" customHeight="1"/>
    <row r="528" ht="99.75" customHeight="1"/>
    <row r="529" ht="99.75" customHeight="1"/>
    <row r="530" ht="99.75" customHeight="1"/>
    <row r="531" ht="99.75" customHeight="1"/>
    <row r="532" ht="99.75" customHeight="1"/>
    <row r="533" ht="99.75" customHeight="1"/>
    <row r="534" ht="99.75" customHeight="1"/>
    <row r="535" ht="99.75" customHeight="1"/>
    <row r="536" ht="99.75" customHeight="1"/>
    <row r="537" ht="99.75" customHeight="1"/>
    <row r="538" ht="99.75" customHeight="1"/>
    <row r="539" ht="99.75" customHeight="1"/>
    <row r="540" ht="99.75" customHeight="1"/>
    <row r="541" ht="99.75" customHeight="1"/>
    <row r="542" ht="99.75" customHeight="1"/>
    <row r="543" ht="99.75" customHeight="1"/>
    <row r="544" ht="99.75" customHeight="1"/>
    <row r="545" ht="99.75" customHeight="1"/>
    <row r="546" ht="99.75" customHeight="1"/>
    <row r="547" ht="99.75" customHeight="1"/>
    <row r="548" ht="99.75" customHeight="1"/>
    <row r="549" ht="99.75" customHeight="1"/>
    <row r="550" ht="99.75" customHeight="1"/>
    <row r="551" ht="99.75" customHeight="1"/>
    <row r="552" ht="99.75" customHeight="1"/>
    <row r="553" ht="99.75" customHeight="1"/>
    <row r="554" ht="99.75" customHeight="1"/>
    <row r="555" ht="99.75" customHeight="1"/>
    <row r="556" ht="99.75" customHeight="1"/>
    <row r="557" ht="99.75" customHeight="1"/>
    <row r="558" ht="99.75" customHeight="1"/>
    <row r="559" ht="99.75" customHeight="1"/>
    <row r="560" ht="99.75" customHeight="1"/>
    <row r="561" ht="99.75" customHeight="1"/>
    <row r="562" ht="99.75" customHeight="1"/>
    <row r="563" ht="99.75" customHeight="1"/>
    <row r="564" ht="99.75" customHeight="1"/>
    <row r="565" ht="99.75" customHeight="1"/>
    <row r="566" ht="99.75" customHeight="1"/>
    <row r="567" ht="99.75" customHeight="1"/>
    <row r="568" ht="99.75" customHeight="1"/>
    <row r="569" ht="99.75" customHeight="1"/>
    <row r="570" ht="99.75" customHeight="1"/>
    <row r="571" ht="99.75" customHeight="1"/>
    <row r="572" ht="99.75" customHeight="1"/>
    <row r="573" ht="99.75" customHeight="1"/>
    <row r="574" ht="99.75" customHeight="1"/>
    <row r="575" ht="99.75" customHeight="1"/>
    <row r="576" ht="99.75" customHeight="1"/>
    <row r="577" ht="99.75" customHeight="1"/>
    <row r="578" ht="99.75" customHeight="1"/>
    <row r="579" ht="99.75" customHeight="1"/>
    <row r="580" ht="99.75" customHeight="1"/>
    <row r="581" ht="99.75" customHeight="1"/>
    <row r="582" ht="99.75" customHeight="1"/>
    <row r="583" ht="99.75" customHeight="1"/>
    <row r="584" ht="99.75" customHeight="1"/>
    <row r="585" ht="99.75" customHeight="1"/>
    <row r="586" ht="99.75" customHeight="1"/>
    <row r="587" ht="99.75" customHeight="1"/>
    <row r="588" ht="99.75" customHeight="1"/>
    <row r="589" ht="99.75" customHeight="1"/>
    <row r="590" ht="99.75" customHeight="1"/>
    <row r="591" ht="99.75" customHeight="1"/>
    <row r="592" ht="99.75" customHeight="1"/>
    <row r="593" ht="99.75" customHeight="1"/>
    <row r="594" ht="99.75" customHeight="1"/>
    <row r="595" ht="99.75" customHeight="1"/>
    <row r="596" ht="99.75" customHeight="1"/>
    <row r="597" ht="99.75" customHeight="1"/>
    <row r="598" ht="99.75" customHeight="1"/>
    <row r="599" ht="99.75" customHeight="1"/>
    <row r="600" ht="99.75" customHeight="1"/>
    <row r="601" ht="99.75" customHeight="1"/>
    <row r="602" ht="99.75" customHeight="1"/>
    <row r="603" ht="99.75" customHeight="1"/>
    <row r="604" ht="99.75" customHeight="1"/>
    <row r="605" ht="99.75" customHeight="1"/>
    <row r="606" ht="99.75" customHeight="1"/>
    <row r="607" ht="99.75" customHeight="1"/>
    <row r="608" ht="99.75" customHeight="1"/>
    <row r="609" ht="99.75" customHeight="1"/>
    <row r="610" ht="99.75" customHeight="1"/>
    <row r="611" ht="99.75" customHeight="1"/>
    <row r="612" ht="99.75" customHeight="1"/>
    <row r="613" ht="99.75" customHeight="1"/>
    <row r="614" ht="99.75" customHeight="1"/>
    <row r="615" ht="99.75" customHeight="1"/>
    <row r="616" ht="99.75" customHeight="1"/>
    <row r="617" ht="99.75" customHeight="1"/>
    <row r="618" ht="99.75" customHeight="1"/>
    <row r="619" ht="99.75" customHeight="1"/>
    <row r="620" ht="99.75" customHeight="1"/>
    <row r="621" ht="99.75" customHeight="1"/>
    <row r="622" ht="99.75" customHeight="1"/>
    <row r="623" ht="99.75" customHeight="1"/>
    <row r="624" ht="99.75" customHeight="1"/>
    <row r="625" ht="99.75" customHeight="1"/>
    <row r="626" ht="99.75" customHeight="1"/>
    <row r="627" ht="99.75" customHeight="1"/>
    <row r="628" ht="99.75" customHeight="1"/>
    <row r="629" ht="99.75" customHeight="1"/>
    <row r="630" ht="99.75" customHeight="1"/>
    <row r="631" ht="99.75" customHeight="1"/>
    <row r="632" ht="99.75" customHeight="1"/>
    <row r="633" ht="99.75" customHeight="1"/>
    <row r="634" ht="99.75" customHeight="1"/>
    <row r="635" ht="99.75" customHeight="1"/>
    <row r="636" ht="99.75" customHeight="1"/>
    <row r="637" ht="99.75" customHeight="1"/>
    <row r="638" ht="99.75" customHeight="1"/>
    <row r="639" ht="99.75" customHeight="1"/>
    <row r="640" ht="99.75" customHeight="1"/>
    <row r="641" ht="99.75" customHeight="1"/>
    <row r="642" ht="99.75" customHeight="1"/>
    <row r="643" ht="99.75" customHeight="1"/>
    <row r="644" ht="99.75" customHeight="1"/>
    <row r="645" ht="99.75" customHeight="1"/>
    <row r="646" ht="99.75" customHeight="1"/>
    <row r="647" ht="99.75" customHeight="1"/>
    <row r="648" ht="99.75" customHeight="1"/>
    <row r="649" ht="99.75" customHeight="1"/>
    <row r="650" ht="99.75" customHeight="1"/>
    <row r="651" ht="99.75" customHeight="1"/>
    <row r="652" ht="99.75" customHeight="1"/>
    <row r="653" ht="99.75" customHeight="1"/>
    <row r="654" ht="99.75" customHeight="1"/>
    <row r="655" ht="99.75" customHeight="1"/>
    <row r="656" ht="99.75" customHeight="1"/>
    <row r="657" ht="99.75" customHeight="1"/>
    <row r="658" ht="99.75" customHeight="1"/>
    <row r="659" ht="99.75" customHeight="1"/>
    <row r="660" ht="99.75" customHeight="1"/>
    <row r="661" ht="99.75" customHeight="1"/>
    <row r="662" ht="99.75" customHeight="1"/>
    <row r="663" ht="99.75" customHeight="1"/>
    <row r="664" ht="99.75" customHeight="1"/>
    <row r="665" ht="99.75" customHeight="1"/>
    <row r="666" ht="99.75" customHeight="1"/>
    <row r="667" ht="99.75" customHeight="1"/>
    <row r="668" ht="99.75" customHeight="1"/>
    <row r="669" ht="99.75" customHeight="1"/>
    <row r="670" ht="99.75" customHeight="1"/>
    <row r="671" ht="99.75" customHeight="1"/>
    <row r="672" ht="99.75" customHeight="1"/>
    <row r="673" ht="99.75" customHeight="1"/>
    <row r="674" ht="99.75" customHeight="1"/>
    <row r="675" ht="99.75" customHeight="1"/>
    <row r="676" ht="99.75" customHeight="1"/>
    <row r="677" ht="99.75" customHeight="1"/>
    <row r="678" ht="99.75" customHeight="1"/>
    <row r="679" ht="99.75" customHeight="1"/>
    <row r="680" ht="99.75" customHeight="1"/>
    <row r="681" ht="99.75" customHeight="1"/>
    <row r="682" ht="99.75" customHeight="1"/>
    <row r="683" ht="99.75" customHeight="1"/>
    <row r="684" ht="99.75" customHeight="1"/>
    <row r="685" ht="99.75" customHeight="1"/>
    <row r="686" ht="99.75" customHeight="1"/>
    <row r="687" ht="99.75" customHeight="1"/>
    <row r="688" ht="99.75" customHeight="1"/>
    <row r="689" ht="99.75" customHeight="1"/>
    <row r="690" ht="99.75" customHeight="1"/>
    <row r="691" ht="99.75" customHeight="1"/>
    <row r="692" ht="99.75" customHeight="1"/>
    <row r="693" ht="99.75" customHeight="1"/>
    <row r="694" ht="99.75" customHeight="1"/>
    <row r="695" ht="99.75" customHeight="1"/>
    <row r="696" ht="99.75" customHeight="1"/>
    <row r="697" ht="99.75" customHeight="1"/>
    <row r="698" ht="99.75" customHeight="1"/>
    <row r="699" ht="99.75" customHeight="1"/>
    <row r="700" ht="99.75" customHeight="1"/>
    <row r="701" ht="99.75" customHeight="1"/>
    <row r="702" ht="99.75" customHeight="1"/>
    <row r="703" ht="99.75" customHeight="1"/>
    <row r="704" ht="99.75" customHeight="1"/>
    <row r="705" ht="99.75" customHeight="1"/>
    <row r="706" ht="99.75" customHeight="1"/>
    <row r="707" ht="99.75" customHeight="1"/>
    <row r="708" ht="99.75" customHeight="1"/>
    <row r="709" ht="99.75" customHeight="1"/>
    <row r="710" ht="99.75" customHeight="1"/>
    <row r="711" ht="99.75" customHeight="1"/>
    <row r="712" ht="99.75" customHeight="1"/>
    <row r="713" ht="99.75" customHeight="1"/>
    <row r="714" ht="99.75" customHeight="1"/>
    <row r="715" ht="99.75" customHeight="1"/>
    <row r="716" ht="99.75" customHeight="1"/>
    <row r="717" ht="99.75" customHeight="1"/>
    <row r="718" ht="99.75" customHeight="1"/>
    <row r="719" ht="99.75" customHeight="1"/>
    <row r="720" ht="99.75" customHeight="1"/>
    <row r="721" ht="99.75" customHeight="1"/>
    <row r="722" ht="99.75" customHeight="1"/>
    <row r="723" ht="99.75" customHeight="1"/>
    <row r="724" ht="99.75" customHeight="1"/>
    <row r="725" ht="99.75" customHeight="1"/>
    <row r="726" ht="99.75" customHeight="1"/>
    <row r="727" ht="99.75" customHeight="1"/>
    <row r="728" ht="99.75" customHeight="1"/>
    <row r="729" ht="99.75" customHeight="1"/>
    <row r="730" ht="99.75" customHeight="1"/>
    <row r="731" ht="99.75" customHeight="1"/>
    <row r="732" ht="99.75" customHeight="1"/>
    <row r="733" ht="99.75" customHeight="1"/>
    <row r="734" ht="99.75" customHeight="1"/>
    <row r="735" ht="99.75" customHeight="1"/>
    <row r="736" ht="99.75" customHeight="1"/>
    <row r="737" ht="99.75" customHeight="1"/>
    <row r="738" ht="99.75" customHeight="1"/>
    <row r="739" ht="99.75" customHeight="1"/>
    <row r="740" ht="99.75" customHeight="1"/>
    <row r="741" ht="99.75" customHeight="1"/>
    <row r="742" ht="99.75" customHeight="1"/>
    <row r="743" ht="99.75" customHeight="1"/>
    <row r="744" ht="99.75" customHeight="1"/>
    <row r="745" ht="99.75" customHeight="1"/>
    <row r="746" ht="99.75" customHeight="1"/>
    <row r="747" ht="99.75" customHeight="1"/>
    <row r="748" ht="99.75" customHeight="1"/>
    <row r="749" ht="99.75" customHeight="1"/>
    <row r="750" ht="99.75" customHeight="1"/>
    <row r="751" ht="99.75" customHeight="1"/>
    <row r="752" ht="99.75" customHeight="1"/>
    <row r="753" ht="99.75" customHeight="1"/>
    <row r="754" ht="99.75" customHeight="1"/>
    <row r="755" ht="99.75" customHeight="1"/>
    <row r="756" ht="99.75" customHeight="1"/>
    <row r="757" ht="99.75" customHeight="1"/>
    <row r="758" ht="99.75" customHeight="1"/>
    <row r="759" ht="99.75" customHeight="1"/>
    <row r="760" ht="99.75" customHeight="1"/>
    <row r="761" ht="99.75" customHeight="1"/>
    <row r="762" ht="99.75" customHeight="1"/>
    <row r="763" ht="99.75" customHeight="1"/>
    <row r="764" ht="99.75" customHeight="1"/>
    <row r="765" ht="99.75" customHeight="1"/>
    <row r="766" ht="99.75" customHeight="1"/>
    <row r="767" ht="99.75" customHeight="1"/>
    <row r="768" ht="99.75" customHeight="1"/>
    <row r="769" ht="99.75" customHeight="1"/>
    <row r="770" ht="99.75" customHeight="1"/>
    <row r="771" ht="99.75" customHeight="1"/>
    <row r="772" ht="99.75" customHeight="1"/>
    <row r="773" ht="99.75" customHeight="1"/>
    <row r="774" ht="99.75" customHeight="1"/>
    <row r="775" ht="99.75" customHeight="1"/>
    <row r="776" ht="99.75" customHeight="1"/>
    <row r="777" ht="99.75" customHeight="1"/>
    <row r="778" ht="99.75" customHeight="1"/>
    <row r="779" ht="99.75" customHeight="1"/>
    <row r="780" ht="99.75" customHeight="1"/>
    <row r="781" ht="99.75" customHeight="1"/>
    <row r="782" ht="99.75" customHeight="1"/>
    <row r="783" ht="99.75" customHeight="1"/>
    <row r="784" ht="99.75" customHeight="1"/>
    <row r="785" ht="99.75" customHeight="1"/>
    <row r="786" ht="99.75" customHeight="1"/>
    <row r="787" ht="99.75" customHeight="1"/>
    <row r="788" ht="99.75" customHeight="1"/>
    <row r="789" ht="99.75" customHeight="1"/>
    <row r="790" ht="99.75" customHeight="1"/>
    <row r="791" ht="99.75" customHeight="1"/>
    <row r="792" ht="99.75" customHeight="1"/>
    <row r="793" ht="99.75" customHeight="1"/>
    <row r="794" ht="99.75" customHeight="1"/>
    <row r="795" ht="99.75" customHeight="1"/>
    <row r="796" ht="99.75" customHeight="1"/>
    <row r="797" ht="99.75" customHeight="1"/>
    <row r="798" ht="99.75" customHeight="1"/>
    <row r="799" ht="99.75" customHeight="1"/>
    <row r="800" ht="99.75" customHeight="1"/>
    <row r="801" ht="99.75" customHeight="1"/>
    <row r="802" ht="99.75" customHeight="1"/>
    <row r="803" ht="99.75" customHeight="1"/>
    <row r="804" ht="99.75" customHeight="1"/>
    <row r="805" ht="99.75" customHeight="1"/>
    <row r="806" ht="99.75" customHeight="1"/>
    <row r="807" ht="99.75" customHeight="1"/>
    <row r="808" ht="99.75" customHeight="1"/>
    <row r="809" ht="99.75" customHeight="1"/>
    <row r="810" ht="99.75" customHeight="1"/>
    <row r="811" ht="99.75" customHeight="1"/>
    <row r="812" ht="99.75" customHeight="1"/>
    <row r="813" ht="99.75" customHeight="1"/>
    <row r="814" ht="99.75" customHeight="1"/>
    <row r="815" ht="99.75" customHeight="1"/>
    <row r="816" ht="99.75" customHeight="1"/>
    <row r="817" ht="99.75" customHeight="1"/>
    <row r="818" ht="99.75" customHeight="1"/>
    <row r="819" ht="99.75" customHeight="1"/>
    <row r="820" ht="99.75" customHeight="1"/>
    <row r="821" ht="99.75" customHeight="1"/>
    <row r="822" ht="99.75" customHeight="1"/>
    <row r="823" ht="99.75" customHeight="1"/>
    <row r="824" ht="99.75" customHeight="1"/>
    <row r="825" ht="99.75" customHeight="1"/>
    <row r="826" ht="99.75" customHeight="1"/>
    <row r="827" ht="99.75" customHeight="1"/>
    <row r="828" ht="99.75" customHeight="1"/>
    <row r="829" ht="99.75" customHeight="1"/>
    <row r="830" ht="99.75" customHeight="1"/>
    <row r="831" ht="99.75" customHeight="1"/>
    <row r="832" ht="99.75" customHeight="1"/>
    <row r="833" ht="99.75" customHeight="1"/>
    <row r="834" ht="99.75" customHeight="1"/>
    <row r="835" ht="99.75" customHeight="1"/>
    <row r="836" ht="99.75" customHeight="1"/>
    <row r="837" ht="99.75" customHeight="1"/>
    <row r="838" ht="99.75" customHeight="1"/>
    <row r="839" ht="99.75" customHeight="1"/>
    <row r="840" ht="99.75" customHeight="1"/>
    <row r="841" ht="99.75" customHeight="1"/>
    <row r="842" ht="99.75" customHeight="1"/>
    <row r="843" ht="99.75" customHeight="1"/>
    <row r="844" ht="99.75" customHeight="1"/>
    <row r="845" ht="99.75" customHeight="1"/>
    <row r="846" ht="99.75" customHeight="1"/>
    <row r="847" ht="99.75" customHeight="1"/>
    <row r="848" ht="99.75" customHeight="1"/>
    <row r="849" ht="99.75" customHeight="1"/>
    <row r="850" ht="99.75" customHeight="1"/>
    <row r="851" ht="99.75" customHeight="1"/>
    <row r="852" ht="99.75" customHeight="1"/>
    <row r="853" ht="99.75" customHeight="1"/>
    <row r="854" ht="99.75" customHeight="1"/>
    <row r="855" ht="99.75" customHeight="1"/>
    <row r="856" ht="99.75" customHeight="1"/>
    <row r="857" ht="99.75" customHeight="1"/>
    <row r="858" ht="99.75" customHeight="1"/>
    <row r="859" ht="99.75" customHeight="1"/>
    <row r="860" ht="99.75" customHeight="1"/>
    <row r="861" ht="99.75" customHeight="1"/>
    <row r="862" ht="99.75" customHeight="1"/>
    <row r="863" ht="99.75" customHeight="1"/>
    <row r="864" ht="99.75" customHeight="1"/>
    <row r="865" ht="99.75" customHeight="1"/>
    <row r="866" ht="99.75" customHeight="1"/>
    <row r="867" ht="99.75" customHeight="1"/>
    <row r="868" ht="99.75" customHeight="1"/>
    <row r="869" ht="99.75" customHeight="1"/>
    <row r="870" ht="99.75" customHeight="1"/>
    <row r="871" ht="99.75" customHeight="1"/>
    <row r="872" ht="99.75" customHeight="1"/>
    <row r="873" ht="99.75" customHeight="1"/>
    <row r="874" ht="99.75" customHeight="1"/>
    <row r="875" ht="99.75" customHeight="1"/>
    <row r="876" ht="99.75" customHeight="1"/>
    <row r="877" ht="99.75" customHeight="1"/>
    <row r="878" ht="99.75" customHeight="1"/>
    <row r="879" ht="99.75" customHeight="1"/>
    <row r="880" ht="99.75" customHeight="1"/>
    <row r="881" ht="99.75" customHeight="1"/>
    <row r="882" ht="99.75" customHeight="1"/>
    <row r="883" ht="99.75" customHeight="1"/>
    <row r="884" ht="99.75" customHeight="1"/>
    <row r="885" ht="99.75" customHeight="1"/>
    <row r="886" ht="99.75" customHeight="1"/>
    <row r="887" ht="99.75" customHeight="1"/>
    <row r="888" ht="99.75" customHeight="1"/>
    <row r="889" ht="99.75" customHeight="1"/>
    <row r="890" ht="99.75" customHeight="1"/>
    <row r="891" ht="99.75" customHeight="1"/>
    <row r="892" ht="99.75" customHeight="1"/>
    <row r="893" ht="99.75" customHeight="1"/>
    <row r="894" ht="99.75" customHeight="1"/>
    <row r="895" ht="99.75" customHeight="1"/>
    <row r="896" ht="99.75" customHeight="1"/>
    <row r="897" ht="99.75" customHeight="1"/>
    <row r="898" ht="99.75" customHeight="1"/>
    <row r="899" ht="99.75" customHeight="1"/>
    <row r="900" ht="99.75" customHeight="1"/>
    <row r="901" ht="99.75" customHeight="1"/>
    <row r="902" ht="99.75" customHeight="1"/>
    <row r="903" ht="99.75" customHeight="1"/>
    <row r="904" ht="99.75" customHeight="1"/>
    <row r="905" ht="99.75" customHeight="1"/>
    <row r="906" ht="99.75" customHeight="1"/>
    <row r="907" ht="99.75" customHeight="1"/>
    <row r="908" ht="99.75" customHeight="1"/>
    <row r="909" ht="99.75" customHeight="1"/>
    <row r="910" ht="99.75" customHeight="1"/>
    <row r="911" ht="99.75" customHeight="1"/>
    <row r="912" ht="99.75" customHeight="1"/>
    <row r="913" ht="99.75" customHeight="1"/>
    <row r="914" ht="99.75" customHeight="1"/>
    <row r="915" ht="99.75" customHeight="1"/>
    <row r="916" ht="99.75" customHeight="1"/>
    <row r="917" ht="99.75" customHeight="1"/>
    <row r="918" ht="99.75" customHeight="1"/>
    <row r="919" ht="99.75" customHeight="1"/>
    <row r="920" ht="99.75" customHeight="1"/>
    <row r="921" ht="99.75" customHeight="1"/>
    <row r="922" ht="99.75" customHeight="1"/>
    <row r="923" ht="99.75" customHeight="1"/>
    <row r="924" ht="99.75" customHeight="1"/>
    <row r="925" ht="99.75" customHeight="1"/>
    <row r="926" ht="99.75" customHeight="1"/>
    <row r="927" ht="99.75" customHeight="1"/>
    <row r="928" ht="99.75" customHeight="1"/>
    <row r="929" ht="99.75" customHeight="1"/>
    <row r="930" ht="99.75" customHeight="1"/>
    <row r="931" ht="99.75" customHeight="1"/>
    <row r="932" ht="99.75" customHeight="1"/>
    <row r="933" ht="99.75" customHeight="1"/>
    <row r="934" ht="99.75" customHeight="1"/>
    <row r="935" ht="99.75" customHeight="1"/>
    <row r="936" ht="99.75" customHeight="1"/>
    <row r="937" ht="99.75" customHeight="1"/>
    <row r="938" ht="99.75" customHeight="1"/>
    <row r="939" ht="99.75" customHeight="1"/>
    <row r="940" ht="99.75" customHeight="1"/>
    <row r="941" ht="99.75" customHeight="1"/>
    <row r="942" ht="99.75" customHeight="1"/>
    <row r="943" ht="99.75" customHeight="1"/>
    <row r="944" ht="99.75" customHeight="1"/>
    <row r="945" ht="99.75" customHeight="1"/>
    <row r="946" ht="99.75" customHeight="1"/>
    <row r="947" ht="99.75" customHeight="1"/>
    <row r="948" ht="99.75" customHeight="1"/>
    <row r="949" ht="99.75" customHeight="1"/>
    <row r="950" ht="99.75" customHeight="1"/>
    <row r="951" ht="99.75" customHeight="1"/>
    <row r="952" ht="99.75" customHeight="1"/>
    <row r="953" ht="99.75" customHeight="1"/>
    <row r="954" ht="99.75" customHeight="1"/>
    <row r="955" ht="99.75" customHeight="1"/>
    <row r="956" ht="99.75" customHeight="1"/>
    <row r="957" ht="99.75" customHeight="1"/>
    <row r="958" ht="99.75" customHeight="1"/>
    <row r="959" ht="99.75" customHeight="1"/>
    <row r="960" ht="99.75" customHeight="1"/>
    <row r="961" ht="99.75" customHeight="1"/>
    <row r="962" ht="99.75" customHeight="1"/>
    <row r="963" ht="99.75" customHeight="1"/>
    <row r="964" ht="99.75" customHeight="1"/>
    <row r="965" ht="99.75" customHeight="1"/>
    <row r="966" ht="99.75" customHeight="1"/>
    <row r="967" ht="99.75" customHeight="1"/>
    <row r="968" ht="99.75" customHeight="1"/>
    <row r="969" ht="99.75" customHeight="1"/>
    <row r="970" ht="99.75" customHeight="1"/>
    <row r="971" ht="99.75" customHeight="1"/>
    <row r="972" ht="99.75" customHeight="1"/>
    <row r="973" ht="99.75" customHeight="1"/>
    <row r="974" ht="99.75" customHeight="1"/>
    <row r="975" ht="99.75" customHeight="1"/>
    <row r="976" ht="99.75" customHeight="1"/>
    <row r="977" ht="99.75" customHeight="1"/>
    <row r="978" ht="99.75" customHeight="1"/>
    <row r="979" ht="99.75" customHeight="1"/>
    <row r="980" ht="99.75" customHeight="1"/>
    <row r="981" ht="99.75" customHeight="1"/>
    <row r="982" ht="99.75" customHeight="1"/>
    <row r="983" ht="99.75" customHeight="1"/>
    <row r="984" ht="99.75" customHeight="1"/>
    <row r="985" ht="99.75" customHeight="1"/>
    <row r="986" ht="99.75" customHeight="1"/>
    <row r="987" ht="99.75" customHeight="1"/>
    <row r="988" ht="99.75" customHeight="1"/>
    <row r="989" ht="99.75" customHeight="1"/>
    <row r="990" ht="99.75" customHeight="1"/>
    <row r="991" ht="99.75" customHeight="1"/>
    <row r="992" ht="99.75" customHeight="1"/>
    <row r="993" ht="99.75" customHeight="1"/>
    <row r="994" ht="99.75" customHeight="1"/>
    <row r="995" ht="99.75" customHeight="1"/>
    <row r="996" ht="99.75" customHeight="1"/>
    <row r="997" ht="99.75" customHeight="1"/>
    <row r="998" ht="99.75" customHeight="1"/>
    <row r="999" ht="99.75" customHeight="1"/>
    <row r="1000" ht="99.75" customHeight="1"/>
  </sheetData>
  <autoFilter ref="A1:G318" xr:uid="{00000000-0009-0000-0000-000006000000}"/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  <hyperlink ref="G6" r:id="rId5" xr:uid="{00000000-0004-0000-0600-000004000000}"/>
    <hyperlink ref="G7" r:id="rId6" xr:uid="{00000000-0004-0000-0600-000005000000}"/>
    <hyperlink ref="G8" r:id="rId7" xr:uid="{00000000-0004-0000-0600-000006000000}"/>
    <hyperlink ref="G9" r:id="rId8" xr:uid="{00000000-0004-0000-0600-000007000000}"/>
    <hyperlink ref="G10" r:id="rId9" xr:uid="{00000000-0004-0000-0600-000008000000}"/>
    <hyperlink ref="G11" r:id="rId10" xr:uid="{00000000-0004-0000-0600-000009000000}"/>
    <hyperlink ref="G12" r:id="rId11" xr:uid="{00000000-0004-0000-0600-00000A000000}"/>
    <hyperlink ref="G13" r:id="rId12" xr:uid="{00000000-0004-0000-0600-00000B000000}"/>
    <hyperlink ref="G14" r:id="rId13" xr:uid="{00000000-0004-0000-0600-00000C000000}"/>
    <hyperlink ref="G15" r:id="rId14" xr:uid="{00000000-0004-0000-0600-00000D000000}"/>
    <hyperlink ref="G16" r:id="rId15" xr:uid="{00000000-0004-0000-0600-00000E000000}"/>
    <hyperlink ref="G17" r:id="rId16" xr:uid="{00000000-0004-0000-0600-00000F000000}"/>
    <hyperlink ref="G18" r:id="rId17" xr:uid="{00000000-0004-0000-0600-000010000000}"/>
    <hyperlink ref="G19" r:id="rId18" xr:uid="{00000000-0004-0000-0600-000011000000}"/>
    <hyperlink ref="G20" r:id="rId19" xr:uid="{00000000-0004-0000-0600-000012000000}"/>
    <hyperlink ref="G21" r:id="rId20" xr:uid="{00000000-0004-0000-0600-000013000000}"/>
    <hyperlink ref="G22" r:id="rId21" xr:uid="{00000000-0004-0000-0600-000014000000}"/>
    <hyperlink ref="G23" r:id="rId22" xr:uid="{00000000-0004-0000-0600-000015000000}"/>
    <hyperlink ref="G24" r:id="rId23" xr:uid="{00000000-0004-0000-0600-000016000000}"/>
    <hyperlink ref="G25" r:id="rId24" xr:uid="{00000000-0004-0000-0600-000017000000}"/>
    <hyperlink ref="G26" r:id="rId25" xr:uid="{00000000-0004-0000-0600-000018000000}"/>
    <hyperlink ref="G27" r:id="rId26" xr:uid="{00000000-0004-0000-0600-000019000000}"/>
    <hyperlink ref="G28" r:id="rId27" xr:uid="{00000000-0004-0000-0600-00001A000000}"/>
    <hyperlink ref="G29" r:id="rId28" xr:uid="{00000000-0004-0000-0600-00001B000000}"/>
    <hyperlink ref="G30" r:id="rId29" xr:uid="{00000000-0004-0000-0600-00001C000000}"/>
    <hyperlink ref="G31" r:id="rId30" xr:uid="{00000000-0004-0000-0600-00001D000000}"/>
    <hyperlink ref="G32" r:id="rId31" xr:uid="{00000000-0004-0000-0600-00001E000000}"/>
    <hyperlink ref="G33" r:id="rId32" xr:uid="{00000000-0004-0000-0600-00001F000000}"/>
    <hyperlink ref="G34" r:id="rId33" xr:uid="{00000000-0004-0000-0600-000020000000}"/>
    <hyperlink ref="G35" r:id="rId34" xr:uid="{00000000-0004-0000-0600-000021000000}"/>
    <hyperlink ref="G36" r:id="rId35" xr:uid="{00000000-0004-0000-0600-000022000000}"/>
    <hyperlink ref="G37" r:id="rId36" xr:uid="{00000000-0004-0000-0600-000023000000}"/>
    <hyperlink ref="G38" r:id="rId37" xr:uid="{00000000-0004-0000-0600-000024000000}"/>
    <hyperlink ref="G39" r:id="rId38" xr:uid="{00000000-0004-0000-0600-000025000000}"/>
    <hyperlink ref="G40" r:id="rId39" xr:uid="{00000000-0004-0000-0600-000026000000}"/>
    <hyperlink ref="G41" r:id="rId40" xr:uid="{00000000-0004-0000-0600-000027000000}"/>
    <hyperlink ref="G42" r:id="rId41" xr:uid="{00000000-0004-0000-0600-000028000000}"/>
    <hyperlink ref="G43" r:id="rId42" xr:uid="{00000000-0004-0000-0600-000029000000}"/>
    <hyperlink ref="G44" r:id="rId43" xr:uid="{00000000-0004-0000-0600-00002A000000}"/>
    <hyperlink ref="G45" r:id="rId44" xr:uid="{00000000-0004-0000-0600-00002B000000}"/>
    <hyperlink ref="G46" r:id="rId45" xr:uid="{00000000-0004-0000-0600-00002C000000}"/>
    <hyperlink ref="G47" r:id="rId46" xr:uid="{00000000-0004-0000-0600-00002D000000}"/>
    <hyperlink ref="G48" r:id="rId47" xr:uid="{00000000-0004-0000-0600-00002E000000}"/>
    <hyperlink ref="G49" r:id="rId48" xr:uid="{00000000-0004-0000-0600-00002F000000}"/>
    <hyperlink ref="G50" r:id="rId49" xr:uid="{00000000-0004-0000-0600-000030000000}"/>
    <hyperlink ref="G51" r:id="rId50" xr:uid="{00000000-0004-0000-0600-000031000000}"/>
    <hyperlink ref="G52" r:id="rId51" xr:uid="{00000000-0004-0000-0600-000032000000}"/>
    <hyperlink ref="G53" r:id="rId52" xr:uid="{00000000-0004-0000-0600-000033000000}"/>
    <hyperlink ref="G54" r:id="rId53" xr:uid="{00000000-0004-0000-0600-000034000000}"/>
    <hyperlink ref="G55" r:id="rId54" xr:uid="{00000000-0004-0000-0600-000035000000}"/>
    <hyperlink ref="G56" r:id="rId55" xr:uid="{00000000-0004-0000-0600-000036000000}"/>
    <hyperlink ref="G57" r:id="rId56" xr:uid="{00000000-0004-0000-0600-000037000000}"/>
    <hyperlink ref="G58" r:id="rId57" xr:uid="{00000000-0004-0000-0600-000038000000}"/>
    <hyperlink ref="G59" r:id="rId58" xr:uid="{00000000-0004-0000-0600-000039000000}"/>
    <hyperlink ref="G60" r:id="rId59" xr:uid="{00000000-0004-0000-0600-00003A000000}"/>
    <hyperlink ref="G61" r:id="rId60" xr:uid="{00000000-0004-0000-0600-00003B000000}"/>
    <hyperlink ref="G62" r:id="rId61" xr:uid="{00000000-0004-0000-0600-00003C000000}"/>
    <hyperlink ref="G63" r:id="rId62" xr:uid="{00000000-0004-0000-0600-00003D000000}"/>
    <hyperlink ref="G64" r:id="rId63" xr:uid="{00000000-0004-0000-0600-00003E000000}"/>
    <hyperlink ref="G65" r:id="rId64" xr:uid="{00000000-0004-0000-0600-00003F000000}"/>
    <hyperlink ref="G66" r:id="rId65" xr:uid="{00000000-0004-0000-0600-000040000000}"/>
    <hyperlink ref="G67" r:id="rId66" xr:uid="{00000000-0004-0000-0600-000041000000}"/>
    <hyperlink ref="G68" r:id="rId67" xr:uid="{00000000-0004-0000-0600-000042000000}"/>
    <hyperlink ref="G69" r:id="rId68" xr:uid="{00000000-0004-0000-0600-000043000000}"/>
    <hyperlink ref="G70" r:id="rId69" xr:uid="{00000000-0004-0000-0600-000044000000}"/>
    <hyperlink ref="G71" r:id="rId70" xr:uid="{00000000-0004-0000-0600-000045000000}"/>
    <hyperlink ref="G72" r:id="rId71" xr:uid="{00000000-0004-0000-0600-000046000000}"/>
    <hyperlink ref="G73" r:id="rId72" xr:uid="{00000000-0004-0000-0600-000047000000}"/>
    <hyperlink ref="G74" r:id="rId73" xr:uid="{00000000-0004-0000-0600-000048000000}"/>
    <hyperlink ref="G75" r:id="rId74" xr:uid="{00000000-0004-0000-0600-000049000000}"/>
    <hyperlink ref="G76" r:id="rId75" xr:uid="{00000000-0004-0000-0600-00004A000000}"/>
    <hyperlink ref="G77" r:id="rId76" xr:uid="{00000000-0004-0000-0600-00004B000000}"/>
    <hyperlink ref="G78" r:id="rId77" xr:uid="{00000000-0004-0000-0600-00004C000000}"/>
    <hyperlink ref="G79" r:id="rId78" xr:uid="{00000000-0004-0000-0600-00004D000000}"/>
    <hyperlink ref="G80" r:id="rId79" xr:uid="{00000000-0004-0000-0600-00004E000000}"/>
    <hyperlink ref="G81" r:id="rId80" xr:uid="{00000000-0004-0000-0600-00004F000000}"/>
    <hyperlink ref="G82" r:id="rId81" xr:uid="{00000000-0004-0000-0600-000050000000}"/>
    <hyperlink ref="G83" r:id="rId82" xr:uid="{00000000-0004-0000-0600-000051000000}"/>
    <hyperlink ref="G84" r:id="rId83" xr:uid="{00000000-0004-0000-0600-000052000000}"/>
    <hyperlink ref="G85" r:id="rId84" xr:uid="{00000000-0004-0000-0600-000053000000}"/>
    <hyperlink ref="G86" r:id="rId85" xr:uid="{00000000-0004-0000-0600-000054000000}"/>
    <hyperlink ref="G87" r:id="rId86" xr:uid="{00000000-0004-0000-0600-000055000000}"/>
    <hyperlink ref="G88" r:id="rId87" xr:uid="{00000000-0004-0000-0600-000056000000}"/>
    <hyperlink ref="G89" r:id="rId88" xr:uid="{00000000-0004-0000-0600-000057000000}"/>
    <hyperlink ref="G90" r:id="rId89" xr:uid="{00000000-0004-0000-0600-000058000000}"/>
    <hyperlink ref="G91" r:id="rId90" xr:uid="{00000000-0004-0000-0600-000059000000}"/>
    <hyperlink ref="G92" r:id="rId91" xr:uid="{00000000-0004-0000-0600-00005A000000}"/>
    <hyperlink ref="G93" r:id="rId92" xr:uid="{00000000-0004-0000-0600-00005B000000}"/>
    <hyperlink ref="G94" r:id="rId93" xr:uid="{00000000-0004-0000-0600-00005C000000}"/>
    <hyperlink ref="G95" r:id="rId94" xr:uid="{00000000-0004-0000-0600-00005D000000}"/>
    <hyperlink ref="G96" r:id="rId95" xr:uid="{00000000-0004-0000-0600-00005E000000}"/>
    <hyperlink ref="G97" r:id="rId96" xr:uid="{00000000-0004-0000-0600-00005F000000}"/>
    <hyperlink ref="G98" r:id="rId97" xr:uid="{00000000-0004-0000-0600-000060000000}"/>
    <hyperlink ref="G99" r:id="rId98" xr:uid="{00000000-0004-0000-0600-000061000000}"/>
    <hyperlink ref="G100" r:id="rId99" xr:uid="{00000000-0004-0000-0600-000062000000}"/>
    <hyperlink ref="G101" r:id="rId100" xr:uid="{00000000-0004-0000-0600-000063000000}"/>
    <hyperlink ref="G102" r:id="rId101" xr:uid="{00000000-0004-0000-0600-000064000000}"/>
    <hyperlink ref="G103" r:id="rId102" xr:uid="{00000000-0004-0000-0600-000065000000}"/>
    <hyperlink ref="G104" r:id="rId103" xr:uid="{00000000-0004-0000-0600-000066000000}"/>
    <hyperlink ref="G105" r:id="rId104" xr:uid="{00000000-0004-0000-0600-000067000000}"/>
    <hyperlink ref="G106" r:id="rId105" xr:uid="{00000000-0004-0000-0600-000068000000}"/>
    <hyperlink ref="G107" r:id="rId106" xr:uid="{00000000-0004-0000-0600-000069000000}"/>
    <hyperlink ref="G108" r:id="rId107" xr:uid="{00000000-0004-0000-0600-00006A000000}"/>
    <hyperlink ref="G109" r:id="rId108" xr:uid="{00000000-0004-0000-0600-00006B000000}"/>
    <hyperlink ref="G110" r:id="rId109" xr:uid="{00000000-0004-0000-0600-00006C000000}"/>
    <hyperlink ref="G111" r:id="rId110" xr:uid="{00000000-0004-0000-0600-00006D000000}"/>
    <hyperlink ref="G112" r:id="rId111" xr:uid="{00000000-0004-0000-0600-00006E000000}"/>
    <hyperlink ref="G113" r:id="rId112" xr:uid="{00000000-0004-0000-0600-00006F000000}"/>
    <hyperlink ref="G114" r:id="rId113" xr:uid="{00000000-0004-0000-0600-000070000000}"/>
    <hyperlink ref="G115" r:id="rId114" xr:uid="{00000000-0004-0000-0600-000071000000}"/>
    <hyperlink ref="G116" r:id="rId115" xr:uid="{00000000-0004-0000-0600-000072000000}"/>
    <hyperlink ref="G117" r:id="rId116" xr:uid="{00000000-0004-0000-0600-000073000000}"/>
    <hyperlink ref="G118" r:id="rId117" xr:uid="{00000000-0004-0000-0600-000074000000}"/>
    <hyperlink ref="G119" r:id="rId118" xr:uid="{00000000-0004-0000-0600-000075000000}"/>
    <hyperlink ref="G120" r:id="rId119" xr:uid="{00000000-0004-0000-0600-000076000000}"/>
    <hyperlink ref="G121" r:id="rId120" xr:uid="{00000000-0004-0000-0600-000077000000}"/>
    <hyperlink ref="G122" r:id="rId121" xr:uid="{00000000-0004-0000-0600-000078000000}"/>
    <hyperlink ref="G123" r:id="rId122" xr:uid="{00000000-0004-0000-0600-000079000000}"/>
    <hyperlink ref="G124" r:id="rId123" xr:uid="{00000000-0004-0000-0600-00007A000000}"/>
    <hyperlink ref="G125" r:id="rId124" xr:uid="{00000000-0004-0000-0600-00007B000000}"/>
    <hyperlink ref="G126" r:id="rId125" xr:uid="{00000000-0004-0000-0600-00007C000000}"/>
    <hyperlink ref="G127" r:id="rId126" xr:uid="{00000000-0004-0000-0600-00007D000000}"/>
    <hyperlink ref="G128" r:id="rId127" xr:uid="{00000000-0004-0000-0600-00007E000000}"/>
    <hyperlink ref="G129" r:id="rId128" xr:uid="{00000000-0004-0000-0600-00007F000000}"/>
    <hyperlink ref="G130" r:id="rId129" xr:uid="{00000000-0004-0000-0600-000080000000}"/>
    <hyperlink ref="G131" r:id="rId130" xr:uid="{00000000-0004-0000-0600-000081000000}"/>
    <hyperlink ref="G132" r:id="rId131" xr:uid="{00000000-0004-0000-0600-000082000000}"/>
    <hyperlink ref="G133" r:id="rId132" xr:uid="{00000000-0004-0000-0600-000083000000}"/>
    <hyperlink ref="G134" r:id="rId133" xr:uid="{00000000-0004-0000-0600-000084000000}"/>
    <hyperlink ref="G135" r:id="rId134" xr:uid="{00000000-0004-0000-0600-000085000000}"/>
    <hyperlink ref="G136" r:id="rId135" xr:uid="{00000000-0004-0000-0600-000086000000}"/>
    <hyperlink ref="G137" r:id="rId136" xr:uid="{00000000-0004-0000-0600-000087000000}"/>
    <hyperlink ref="G138" r:id="rId137" xr:uid="{00000000-0004-0000-0600-000088000000}"/>
    <hyperlink ref="G139" r:id="rId138" xr:uid="{00000000-0004-0000-0600-000089000000}"/>
    <hyperlink ref="G140" r:id="rId139" xr:uid="{00000000-0004-0000-0600-00008A000000}"/>
    <hyperlink ref="G141" r:id="rId140" xr:uid="{00000000-0004-0000-0600-00008B000000}"/>
    <hyperlink ref="G142" r:id="rId141" xr:uid="{00000000-0004-0000-0600-00008C000000}"/>
    <hyperlink ref="G143" r:id="rId142" xr:uid="{00000000-0004-0000-0600-00008D000000}"/>
    <hyperlink ref="G144" r:id="rId143" xr:uid="{00000000-0004-0000-0600-00008E000000}"/>
    <hyperlink ref="G145" r:id="rId144" xr:uid="{00000000-0004-0000-0600-00008F000000}"/>
    <hyperlink ref="G146" r:id="rId145" xr:uid="{00000000-0004-0000-0600-000090000000}"/>
    <hyperlink ref="G147" r:id="rId146" xr:uid="{00000000-0004-0000-0600-000091000000}"/>
    <hyperlink ref="G148" r:id="rId147" xr:uid="{00000000-0004-0000-0600-000092000000}"/>
    <hyperlink ref="G149" r:id="rId148" xr:uid="{00000000-0004-0000-0600-000093000000}"/>
    <hyperlink ref="G150" r:id="rId149" xr:uid="{00000000-0004-0000-0600-000094000000}"/>
    <hyperlink ref="G151" r:id="rId150" xr:uid="{00000000-0004-0000-0600-000095000000}"/>
    <hyperlink ref="G152" r:id="rId151" xr:uid="{00000000-0004-0000-0600-000096000000}"/>
    <hyperlink ref="G153" r:id="rId152" xr:uid="{00000000-0004-0000-0600-000097000000}"/>
    <hyperlink ref="G154" r:id="rId153" xr:uid="{00000000-0004-0000-0600-000098000000}"/>
    <hyperlink ref="G155" r:id="rId154" xr:uid="{00000000-0004-0000-0600-000099000000}"/>
    <hyperlink ref="G156" r:id="rId155" xr:uid="{00000000-0004-0000-0600-00009A000000}"/>
    <hyperlink ref="G157" r:id="rId156" xr:uid="{00000000-0004-0000-0600-00009B000000}"/>
    <hyperlink ref="G158" r:id="rId157" xr:uid="{00000000-0004-0000-0600-00009C000000}"/>
    <hyperlink ref="G159" r:id="rId158" xr:uid="{00000000-0004-0000-0600-00009D000000}"/>
    <hyperlink ref="G160" r:id="rId159" xr:uid="{00000000-0004-0000-0600-00009E000000}"/>
    <hyperlink ref="G161" r:id="rId160" xr:uid="{00000000-0004-0000-0600-00009F000000}"/>
    <hyperlink ref="G162" r:id="rId161" xr:uid="{00000000-0004-0000-0600-0000A0000000}"/>
    <hyperlink ref="G163" r:id="rId162" xr:uid="{00000000-0004-0000-0600-0000A1000000}"/>
    <hyperlink ref="G164" r:id="rId163" xr:uid="{00000000-0004-0000-0600-0000A2000000}"/>
    <hyperlink ref="G165" r:id="rId164" xr:uid="{00000000-0004-0000-0600-0000A3000000}"/>
    <hyperlink ref="G166" r:id="rId165" xr:uid="{00000000-0004-0000-0600-0000A4000000}"/>
    <hyperlink ref="G167" r:id="rId166" xr:uid="{00000000-0004-0000-0600-0000A5000000}"/>
    <hyperlink ref="G168" r:id="rId167" xr:uid="{00000000-0004-0000-0600-0000A6000000}"/>
    <hyperlink ref="G169" r:id="rId168" xr:uid="{00000000-0004-0000-0600-0000A7000000}"/>
    <hyperlink ref="G170" r:id="rId169" xr:uid="{00000000-0004-0000-0600-0000A8000000}"/>
    <hyperlink ref="G171" r:id="rId170" xr:uid="{00000000-0004-0000-0600-0000A9000000}"/>
    <hyperlink ref="G172" r:id="rId171" xr:uid="{00000000-0004-0000-0600-0000AA000000}"/>
    <hyperlink ref="G173" r:id="rId172" xr:uid="{00000000-0004-0000-0600-0000AB000000}"/>
    <hyperlink ref="G174" r:id="rId173" xr:uid="{00000000-0004-0000-0600-0000AC000000}"/>
    <hyperlink ref="G175" r:id="rId174" xr:uid="{00000000-0004-0000-0600-0000AD000000}"/>
    <hyperlink ref="G176" r:id="rId175" xr:uid="{00000000-0004-0000-0600-0000AE000000}"/>
    <hyperlink ref="G177" r:id="rId176" xr:uid="{00000000-0004-0000-0600-0000AF000000}"/>
    <hyperlink ref="G178" r:id="rId177" xr:uid="{00000000-0004-0000-0600-0000B0000000}"/>
    <hyperlink ref="G179" r:id="rId178" xr:uid="{00000000-0004-0000-0600-0000B1000000}"/>
    <hyperlink ref="G180" r:id="rId179" xr:uid="{00000000-0004-0000-0600-0000B2000000}"/>
    <hyperlink ref="G181" r:id="rId180" xr:uid="{00000000-0004-0000-0600-0000B3000000}"/>
    <hyperlink ref="G182" r:id="rId181" xr:uid="{00000000-0004-0000-0600-0000B4000000}"/>
    <hyperlink ref="G183" r:id="rId182" xr:uid="{00000000-0004-0000-0600-0000B5000000}"/>
    <hyperlink ref="G184" r:id="rId183" xr:uid="{00000000-0004-0000-0600-0000B6000000}"/>
    <hyperlink ref="G185" r:id="rId184" xr:uid="{00000000-0004-0000-0600-0000B7000000}"/>
    <hyperlink ref="G186" r:id="rId185" xr:uid="{00000000-0004-0000-0600-0000B8000000}"/>
    <hyperlink ref="G187" r:id="rId186" xr:uid="{00000000-0004-0000-0600-0000B9000000}"/>
    <hyperlink ref="G188" r:id="rId187" xr:uid="{00000000-0004-0000-0600-0000BA000000}"/>
    <hyperlink ref="G189" r:id="rId188" xr:uid="{00000000-0004-0000-0600-0000BB000000}"/>
    <hyperlink ref="G190" r:id="rId189" xr:uid="{00000000-0004-0000-0600-0000BC000000}"/>
    <hyperlink ref="G191" r:id="rId190" xr:uid="{00000000-0004-0000-0600-0000BD000000}"/>
    <hyperlink ref="G192" r:id="rId191" xr:uid="{00000000-0004-0000-0600-0000BE000000}"/>
    <hyperlink ref="G193" r:id="rId192" xr:uid="{00000000-0004-0000-0600-0000BF000000}"/>
    <hyperlink ref="G194" r:id="rId193" xr:uid="{00000000-0004-0000-0600-0000C0000000}"/>
    <hyperlink ref="G195" r:id="rId194" xr:uid="{00000000-0004-0000-0600-0000C1000000}"/>
    <hyperlink ref="G196" r:id="rId195" xr:uid="{00000000-0004-0000-0600-0000C2000000}"/>
    <hyperlink ref="G197" r:id="rId196" xr:uid="{00000000-0004-0000-0600-0000C3000000}"/>
    <hyperlink ref="G198" r:id="rId197" xr:uid="{00000000-0004-0000-0600-0000C4000000}"/>
    <hyperlink ref="G199" r:id="rId198" xr:uid="{00000000-0004-0000-0600-0000C5000000}"/>
    <hyperlink ref="G200" r:id="rId199" xr:uid="{00000000-0004-0000-0600-0000C6000000}"/>
    <hyperlink ref="G201" r:id="rId200" xr:uid="{00000000-0004-0000-0600-0000C7000000}"/>
    <hyperlink ref="G202" r:id="rId201" xr:uid="{00000000-0004-0000-0600-0000C8000000}"/>
    <hyperlink ref="G203" r:id="rId202" xr:uid="{00000000-0004-0000-0600-0000C9000000}"/>
    <hyperlink ref="G204" r:id="rId203" xr:uid="{00000000-0004-0000-0600-0000CA000000}"/>
    <hyperlink ref="G205" r:id="rId204" xr:uid="{00000000-0004-0000-0600-0000CB000000}"/>
    <hyperlink ref="G206" r:id="rId205" xr:uid="{00000000-0004-0000-0600-0000CC000000}"/>
    <hyperlink ref="G207" r:id="rId206" xr:uid="{00000000-0004-0000-0600-0000CD000000}"/>
    <hyperlink ref="G208" r:id="rId207" xr:uid="{00000000-0004-0000-0600-0000CE000000}"/>
    <hyperlink ref="G209" r:id="rId208" xr:uid="{00000000-0004-0000-0600-0000CF000000}"/>
    <hyperlink ref="G210" r:id="rId209" xr:uid="{00000000-0004-0000-0600-0000D0000000}"/>
    <hyperlink ref="G211" r:id="rId210" xr:uid="{00000000-0004-0000-0600-0000D1000000}"/>
    <hyperlink ref="G212" r:id="rId211" xr:uid="{00000000-0004-0000-0600-0000D2000000}"/>
    <hyperlink ref="G213" r:id="rId212" xr:uid="{00000000-0004-0000-0600-0000D3000000}"/>
    <hyperlink ref="G214" r:id="rId213" xr:uid="{00000000-0004-0000-0600-0000D4000000}"/>
    <hyperlink ref="G215" r:id="rId214" xr:uid="{00000000-0004-0000-0600-0000D5000000}"/>
    <hyperlink ref="G216" r:id="rId215" xr:uid="{00000000-0004-0000-0600-0000D6000000}"/>
    <hyperlink ref="G217" r:id="rId216" xr:uid="{00000000-0004-0000-0600-0000D7000000}"/>
    <hyperlink ref="G218" r:id="rId217" xr:uid="{00000000-0004-0000-0600-0000D8000000}"/>
    <hyperlink ref="G219" r:id="rId218" xr:uid="{00000000-0004-0000-0600-0000D9000000}"/>
    <hyperlink ref="G220" r:id="rId219" xr:uid="{00000000-0004-0000-0600-0000DA000000}"/>
    <hyperlink ref="G221" r:id="rId220" xr:uid="{00000000-0004-0000-0600-0000DB000000}"/>
    <hyperlink ref="G222" r:id="rId221" xr:uid="{00000000-0004-0000-0600-0000DC000000}"/>
    <hyperlink ref="G223" r:id="rId222" xr:uid="{00000000-0004-0000-0600-0000DD000000}"/>
    <hyperlink ref="G224" r:id="rId223" xr:uid="{00000000-0004-0000-0600-0000DE000000}"/>
    <hyperlink ref="G225" r:id="rId224" xr:uid="{00000000-0004-0000-0600-0000DF000000}"/>
    <hyperlink ref="G226" r:id="rId225" xr:uid="{00000000-0004-0000-0600-0000E0000000}"/>
    <hyperlink ref="G227" r:id="rId226" xr:uid="{00000000-0004-0000-0600-0000E1000000}"/>
    <hyperlink ref="G228" r:id="rId227" xr:uid="{00000000-0004-0000-0600-0000E2000000}"/>
    <hyperlink ref="G229" r:id="rId228" xr:uid="{00000000-0004-0000-0600-0000E3000000}"/>
    <hyperlink ref="G230" r:id="rId229" xr:uid="{00000000-0004-0000-0600-0000E4000000}"/>
    <hyperlink ref="G231" r:id="rId230" xr:uid="{00000000-0004-0000-0600-0000E5000000}"/>
    <hyperlink ref="G232" r:id="rId231" xr:uid="{00000000-0004-0000-0600-0000E6000000}"/>
    <hyperlink ref="G233" r:id="rId232" xr:uid="{00000000-0004-0000-0600-0000E7000000}"/>
    <hyperlink ref="G234" r:id="rId233" xr:uid="{00000000-0004-0000-0600-0000E8000000}"/>
    <hyperlink ref="G235" r:id="rId234" xr:uid="{00000000-0004-0000-0600-0000E9000000}"/>
    <hyperlink ref="G236" r:id="rId235" xr:uid="{00000000-0004-0000-0600-0000EA000000}"/>
    <hyperlink ref="G237" r:id="rId236" xr:uid="{00000000-0004-0000-0600-0000EB000000}"/>
    <hyperlink ref="G238" r:id="rId237" xr:uid="{00000000-0004-0000-0600-0000EC000000}"/>
    <hyperlink ref="G239" r:id="rId238" xr:uid="{00000000-0004-0000-0600-0000ED000000}"/>
    <hyperlink ref="G240" r:id="rId239" xr:uid="{00000000-0004-0000-0600-0000EE000000}"/>
    <hyperlink ref="G241" r:id="rId240" xr:uid="{00000000-0004-0000-0600-0000EF000000}"/>
    <hyperlink ref="G242" r:id="rId241" xr:uid="{00000000-0004-0000-0600-0000F0000000}"/>
    <hyperlink ref="G243" r:id="rId242" xr:uid="{00000000-0004-0000-0600-0000F1000000}"/>
    <hyperlink ref="G244" r:id="rId243" xr:uid="{00000000-0004-0000-0600-0000F2000000}"/>
    <hyperlink ref="G245" r:id="rId244" xr:uid="{00000000-0004-0000-0600-0000F3000000}"/>
    <hyperlink ref="G246" r:id="rId245" xr:uid="{00000000-0004-0000-0600-0000F4000000}"/>
    <hyperlink ref="G247" r:id="rId246" xr:uid="{00000000-0004-0000-0600-0000F5000000}"/>
    <hyperlink ref="G248" r:id="rId247" xr:uid="{00000000-0004-0000-0600-0000F6000000}"/>
    <hyperlink ref="G249" r:id="rId248" xr:uid="{00000000-0004-0000-0600-0000F7000000}"/>
    <hyperlink ref="G250" r:id="rId249" xr:uid="{00000000-0004-0000-0600-0000F8000000}"/>
    <hyperlink ref="G251" r:id="rId250" xr:uid="{00000000-0004-0000-0600-0000F9000000}"/>
    <hyperlink ref="G252" r:id="rId251" xr:uid="{00000000-0004-0000-0600-0000FA000000}"/>
    <hyperlink ref="G253" r:id="rId252" xr:uid="{00000000-0004-0000-0600-0000FB000000}"/>
    <hyperlink ref="G254" r:id="rId253" xr:uid="{00000000-0004-0000-0600-0000FC000000}"/>
    <hyperlink ref="G255" r:id="rId254" xr:uid="{00000000-0004-0000-0600-0000FD000000}"/>
    <hyperlink ref="G256" r:id="rId255" xr:uid="{00000000-0004-0000-0600-0000FE000000}"/>
    <hyperlink ref="G257" r:id="rId256" xr:uid="{00000000-0004-0000-0600-0000FF000000}"/>
    <hyperlink ref="G258" r:id="rId257" xr:uid="{00000000-0004-0000-0600-000000010000}"/>
    <hyperlink ref="G259" r:id="rId258" xr:uid="{00000000-0004-0000-0600-000001010000}"/>
    <hyperlink ref="G260" r:id="rId259" xr:uid="{00000000-0004-0000-0600-000002010000}"/>
    <hyperlink ref="G261" r:id="rId260" xr:uid="{00000000-0004-0000-0600-000003010000}"/>
    <hyperlink ref="G262" r:id="rId261" xr:uid="{00000000-0004-0000-0600-000004010000}"/>
    <hyperlink ref="G263" r:id="rId262" xr:uid="{00000000-0004-0000-0600-000005010000}"/>
    <hyperlink ref="G264" r:id="rId263" xr:uid="{00000000-0004-0000-0600-000006010000}"/>
    <hyperlink ref="G265" r:id="rId264" xr:uid="{00000000-0004-0000-0600-000007010000}"/>
    <hyperlink ref="G266" r:id="rId265" xr:uid="{00000000-0004-0000-0600-000008010000}"/>
    <hyperlink ref="G267" r:id="rId266" xr:uid="{00000000-0004-0000-0600-000009010000}"/>
    <hyperlink ref="G268" r:id="rId267" xr:uid="{00000000-0004-0000-0600-00000A010000}"/>
    <hyperlink ref="G269" r:id="rId268" xr:uid="{00000000-0004-0000-0600-00000B010000}"/>
    <hyperlink ref="G270" r:id="rId269" xr:uid="{00000000-0004-0000-0600-00000C010000}"/>
    <hyperlink ref="G271" r:id="rId270" xr:uid="{00000000-0004-0000-0600-00000D010000}"/>
    <hyperlink ref="G272" r:id="rId271" xr:uid="{00000000-0004-0000-0600-00000E010000}"/>
    <hyperlink ref="G273" r:id="rId272" xr:uid="{00000000-0004-0000-0600-00000F010000}"/>
    <hyperlink ref="G274" r:id="rId273" xr:uid="{00000000-0004-0000-0600-000010010000}"/>
    <hyperlink ref="G275" r:id="rId274" xr:uid="{00000000-0004-0000-0600-000011010000}"/>
    <hyperlink ref="G276" r:id="rId275" xr:uid="{00000000-0004-0000-0600-000012010000}"/>
    <hyperlink ref="G277" r:id="rId276" xr:uid="{00000000-0004-0000-0600-000013010000}"/>
    <hyperlink ref="G278" r:id="rId277" xr:uid="{00000000-0004-0000-0600-000014010000}"/>
    <hyperlink ref="G279" r:id="rId278" xr:uid="{00000000-0004-0000-0600-000015010000}"/>
    <hyperlink ref="G280" r:id="rId279" xr:uid="{00000000-0004-0000-0600-000016010000}"/>
    <hyperlink ref="G281" r:id="rId280" xr:uid="{00000000-0004-0000-0600-000017010000}"/>
    <hyperlink ref="G282" r:id="rId281" xr:uid="{00000000-0004-0000-0600-000018010000}"/>
    <hyperlink ref="G283" r:id="rId282" xr:uid="{00000000-0004-0000-0600-000019010000}"/>
    <hyperlink ref="G284" r:id="rId283" xr:uid="{00000000-0004-0000-0600-00001A010000}"/>
    <hyperlink ref="G285" r:id="rId284" xr:uid="{00000000-0004-0000-0600-00001B010000}"/>
    <hyperlink ref="G286" r:id="rId285" xr:uid="{00000000-0004-0000-0600-00001C010000}"/>
    <hyperlink ref="G287" r:id="rId286" xr:uid="{00000000-0004-0000-0600-00001D010000}"/>
    <hyperlink ref="G288" r:id="rId287" xr:uid="{00000000-0004-0000-0600-00001E010000}"/>
    <hyperlink ref="G289" r:id="rId288" xr:uid="{00000000-0004-0000-0600-00001F010000}"/>
    <hyperlink ref="G290" r:id="rId289" xr:uid="{00000000-0004-0000-0600-000020010000}"/>
    <hyperlink ref="G291" r:id="rId290" xr:uid="{00000000-0004-0000-0600-000021010000}"/>
    <hyperlink ref="G292" r:id="rId291" xr:uid="{00000000-0004-0000-0600-000022010000}"/>
    <hyperlink ref="G293" r:id="rId292" xr:uid="{00000000-0004-0000-0600-000023010000}"/>
    <hyperlink ref="G294" r:id="rId293" xr:uid="{00000000-0004-0000-0600-000024010000}"/>
    <hyperlink ref="G295" r:id="rId294" xr:uid="{00000000-0004-0000-0600-000025010000}"/>
    <hyperlink ref="G296" r:id="rId295" xr:uid="{00000000-0004-0000-0600-000026010000}"/>
    <hyperlink ref="G297" r:id="rId296" xr:uid="{00000000-0004-0000-0600-000027010000}"/>
    <hyperlink ref="G298" r:id="rId297" xr:uid="{00000000-0004-0000-0600-000028010000}"/>
    <hyperlink ref="G299" r:id="rId298" xr:uid="{00000000-0004-0000-0600-000029010000}"/>
    <hyperlink ref="G300" r:id="rId299" xr:uid="{00000000-0004-0000-0600-00002A010000}"/>
    <hyperlink ref="G301" r:id="rId300" xr:uid="{00000000-0004-0000-0600-00002B010000}"/>
    <hyperlink ref="G302" r:id="rId301" xr:uid="{00000000-0004-0000-0600-00002C010000}"/>
    <hyperlink ref="G303" r:id="rId302" xr:uid="{00000000-0004-0000-0600-00002D010000}"/>
    <hyperlink ref="G304" r:id="rId303" xr:uid="{00000000-0004-0000-0600-00002E010000}"/>
    <hyperlink ref="G305" r:id="rId304" xr:uid="{00000000-0004-0000-0600-00002F010000}"/>
    <hyperlink ref="G306" r:id="rId305" xr:uid="{00000000-0004-0000-0600-000030010000}"/>
    <hyperlink ref="G307" r:id="rId306" xr:uid="{00000000-0004-0000-0600-000031010000}"/>
    <hyperlink ref="G308" r:id="rId307" xr:uid="{00000000-0004-0000-0600-000032010000}"/>
    <hyperlink ref="G309" r:id="rId308" xr:uid="{00000000-0004-0000-0600-000033010000}"/>
    <hyperlink ref="G310" r:id="rId309" xr:uid="{00000000-0004-0000-0600-000034010000}"/>
    <hyperlink ref="G311" r:id="rId310" xr:uid="{00000000-0004-0000-0600-000035010000}"/>
    <hyperlink ref="G312" r:id="rId311" xr:uid="{00000000-0004-0000-0600-000036010000}"/>
    <hyperlink ref="G313" r:id="rId312" xr:uid="{00000000-0004-0000-0600-000037010000}"/>
    <hyperlink ref="G314" r:id="rId313" xr:uid="{00000000-0004-0000-0600-000038010000}"/>
    <hyperlink ref="G315" r:id="rId314" xr:uid="{00000000-0004-0000-0600-000039010000}"/>
    <hyperlink ref="G316" r:id="rId315" xr:uid="{00000000-0004-0000-0600-00003A010000}"/>
    <hyperlink ref="G317" r:id="rId316" xr:uid="{00000000-0004-0000-0600-00003B010000}"/>
    <hyperlink ref="G318" r:id="rId317" xr:uid="{00000000-0004-0000-0600-00003C01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31" customWidth="1"/>
    <col min="3" max="3" width="20" customWidth="1"/>
    <col min="4" max="4" width="34.28515625" customWidth="1"/>
    <col min="5" max="5" width="27.5703125" customWidth="1"/>
    <col min="6" max="6" width="60.7109375" customWidth="1"/>
    <col min="7" max="7" width="89.140625" customWidth="1"/>
    <col min="8" max="26" width="8.7109375" customWidth="1"/>
  </cols>
  <sheetData>
    <row r="1" spans="1:7">
      <c r="A1" s="131" t="s">
        <v>1</v>
      </c>
      <c r="B1" s="132" t="s">
        <v>402</v>
      </c>
      <c r="C1" s="132" t="s">
        <v>403</v>
      </c>
      <c r="D1" s="132" t="s">
        <v>404</v>
      </c>
      <c r="E1" s="132" t="s">
        <v>958</v>
      </c>
      <c r="F1" s="132" t="s">
        <v>406</v>
      </c>
      <c r="G1" s="132" t="s">
        <v>407</v>
      </c>
    </row>
    <row r="2" spans="1:7" ht="99.75" customHeight="1">
      <c r="A2" s="102">
        <v>1</v>
      </c>
      <c r="B2" s="132" t="s">
        <v>959</v>
      </c>
      <c r="C2" s="132" t="s">
        <v>960</v>
      </c>
      <c r="D2" s="132" t="s">
        <v>961</v>
      </c>
      <c r="E2" s="132" t="str">
        <f t="shared" ref="E2:E99" si="0">TRIM(LEFT(D2,FIND("_",D2)-1))</f>
        <v>1.1.00</v>
      </c>
      <c r="F2" s="126" t="e">
        <v>#NAME?</v>
      </c>
      <c r="G2" s="132" t="s">
        <v>962</v>
      </c>
    </row>
    <row r="3" spans="1:7" ht="99.75" customHeight="1">
      <c r="A3" s="102">
        <f t="shared" ref="A3:A24" si="1">A2+1</f>
        <v>2</v>
      </c>
      <c r="B3" s="132" t="s">
        <v>959</v>
      </c>
      <c r="C3" s="132" t="s">
        <v>960</v>
      </c>
      <c r="D3" s="132" t="s">
        <v>963</v>
      </c>
      <c r="E3" s="132" t="str">
        <f t="shared" si="0"/>
        <v>1.1.01</v>
      </c>
      <c r="F3" s="126" t="e">
        <v>#NAME?</v>
      </c>
      <c r="G3" s="132" t="s">
        <v>964</v>
      </c>
    </row>
    <row r="4" spans="1:7" ht="99.75" customHeight="1">
      <c r="A4" s="102">
        <f t="shared" si="1"/>
        <v>3</v>
      </c>
      <c r="B4" s="132" t="s">
        <v>959</v>
      </c>
      <c r="C4" s="132" t="s">
        <v>960</v>
      </c>
      <c r="D4" s="132" t="s">
        <v>965</v>
      </c>
      <c r="E4" s="132" t="str">
        <f t="shared" si="0"/>
        <v>1.1.02</v>
      </c>
      <c r="F4" s="126" t="e">
        <v>#NAME?</v>
      </c>
      <c r="G4" s="132" t="s">
        <v>966</v>
      </c>
    </row>
    <row r="5" spans="1:7" ht="99.75" customHeight="1">
      <c r="A5" s="102">
        <f t="shared" si="1"/>
        <v>4</v>
      </c>
      <c r="B5" s="132" t="s">
        <v>959</v>
      </c>
      <c r="C5" s="132" t="s">
        <v>960</v>
      </c>
      <c r="D5" s="132" t="s">
        <v>967</v>
      </c>
      <c r="E5" s="132" t="str">
        <f t="shared" si="0"/>
        <v>1.1.03</v>
      </c>
      <c r="F5" s="126" t="e">
        <v>#NAME?</v>
      </c>
      <c r="G5" s="132" t="s">
        <v>968</v>
      </c>
    </row>
    <row r="6" spans="1:7" ht="99.75" customHeight="1">
      <c r="A6" s="102">
        <f t="shared" si="1"/>
        <v>5</v>
      </c>
      <c r="B6" s="132" t="s">
        <v>959</v>
      </c>
      <c r="C6" s="132" t="s">
        <v>960</v>
      </c>
      <c r="D6" s="132" t="s">
        <v>969</v>
      </c>
      <c r="E6" s="132" t="str">
        <f t="shared" si="0"/>
        <v>1.1.04</v>
      </c>
      <c r="F6" s="126" t="e">
        <v>#NAME?</v>
      </c>
      <c r="G6" s="132" t="s">
        <v>970</v>
      </c>
    </row>
    <row r="7" spans="1:7" ht="99.75" customHeight="1">
      <c r="A7" s="102">
        <f t="shared" si="1"/>
        <v>6</v>
      </c>
      <c r="B7" s="132" t="s">
        <v>959</v>
      </c>
      <c r="C7" s="132" t="s">
        <v>960</v>
      </c>
      <c r="D7" s="132" t="s">
        <v>971</v>
      </c>
      <c r="E7" s="132" t="str">
        <f t="shared" si="0"/>
        <v>1.1.05</v>
      </c>
      <c r="F7" s="126" t="e">
        <v>#NAME?</v>
      </c>
      <c r="G7" s="132" t="s">
        <v>972</v>
      </c>
    </row>
    <row r="8" spans="1:7" ht="99.75" customHeight="1">
      <c r="A8" s="102">
        <f t="shared" si="1"/>
        <v>7</v>
      </c>
      <c r="B8" s="132" t="s">
        <v>959</v>
      </c>
      <c r="C8" s="132" t="s">
        <v>960</v>
      </c>
      <c r="D8" s="132" t="s">
        <v>973</v>
      </c>
      <c r="E8" s="132" t="str">
        <f t="shared" si="0"/>
        <v>1.1.06</v>
      </c>
      <c r="F8" s="126" t="e">
        <v>#NAME?</v>
      </c>
      <c r="G8" s="132" t="s">
        <v>974</v>
      </c>
    </row>
    <row r="9" spans="1:7" ht="99.75" customHeight="1">
      <c r="A9" s="102">
        <f t="shared" si="1"/>
        <v>8</v>
      </c>
      <c r="B9" s="132" t="s">
        <v>975</v>
      </c>
      <c r="C9" s="132" t="s">
        <v>960</v>
      </c>
      <c r="D9" s="132" t="s">
        <v>976</v>
      </c>
      <c r="E9" s="132" t="str">
        <f t="shared" si="0"/>
        <v>1.2.01</v>
      </c>
      <c r="F9" s="126" t="e">
        <v>#NAME?</v>
      </c>
      <c r="G9" s="132" t="s">
        <v>977</v>
      </c>
    </row>
    <row r="10" spans="1:7" ht="99.75" customHeight="1">
      <c r="A10" s="102">
        <f t="shared" si="1"/>
        <v>9</v>
      </c>
      <c r="B10" s="132" t="s">
        <v>975</v>
      </c>
      <c r="C10" s="132" t="s">
        <v>960</v>
      </c>
      <c r="D10" s="132" t="s">
        <v>978</v>
      </c>
      <c r="E10" s="132" t="str">
        <f t="shared" si="0"/>
        <v>1.2.02</v>
      </c>
      <c r="F10" s="126" t="e">
        <v>#NAME?</v>
      </c>
      <c r="G10" s="132" t="s">
        <v>979</v>
      </c>
    </row>
    <row r="11" spans="1:7" ht="99.75" customHeight="1">
      <c r="A11" s="102">
        <f t="shared" si="1"/>
        <v>10</v>
      </c>
      <c r="B11" s="132" t="s">
        <v>975</v>
      </c>
      <c r="C11" s="132" t="s">
        <v>960</v>
      </c>
      <c r="D11" s="132" t="s">
        <v>980</v>
      </c>
      <c r="E11" s="132" t="str">
        <f t="shared" si="0"/>
        <v>1.2.03</v>
      </c>
      <c r="F11" s="126" t="e">
        <v>#NAME?</v>
      </c>
      <c r="G11" s="132" t="s">
        <v>981</v>
      </c>
    </row>
    <row r="12" spans="1:7" ht="99.75" customHeight="1">
      <c r="A12" s="102">
        <f t="shared" si="1"/>
        <v>11</v>
      </c>
      <c r="B12" s="132" t="s">
        <v>975</v>
      </c>
      <c r="C12" s="132" t="s">
        <v>960</v>
      </c>
      <c r="D12" s="132" t="s">
        <v>982</v>
      </c>
      <c r="E12" s="132" t="str">
        <f t="shared" si="0"/>
        <v>1.2.04</v>
      </c>
      <c r="F12" s="126" t="e">
        <v>#NAME?</v>
      </c>
      <c r="G12" s="132" t="s">
        <v>983</v>
      </c>
    </row>
    <row r="13" spans="1:7" ht="99.75" customHeight="1">
      <c r="A13" s="102">
        <f t="shared" si="1"/>
        <v>12</v>
      </c>
      <c r="B13" s="132" t="s">
        <v>975</v>
      </c>
      <c r="C13" s="132" t="s">
        <v>960</v>
      </c>
      <c r="D13" s="132" t="s">
        <v>984</v>
      </c>
      <c r="E13" s="132" t="str">
        <f t="shared" si="0"/>
        <v>1.2.05</v>
      </c>
      <c r="F13" s="126" t="e">
        <v>#NAME?</v>
      </c>
      <c r="G13" s="132" t="s">
        <v>985</v>
      </c>
    </row>
    <row r="14" spans="1:7" ht="99.75" customHeight="1">
      <c r="A14" s="102">
        <f t="shared" si="1"/>
        <v>13</v>
      </c>
      <c r="B14" s="132" t="s">
        <v>975</v>
      </c>
      <c r="C14" s="132" t="s">
        <v>960</v>
      </c>
      <c r="D14" s="132" t="s">
        <v>986</v>
      </c>
      <c r="E14" s="132" t="str">
        <f t="shared" si="0"/>
        <v>1.2.06</v>
      </c>
      <c r="F14" s="126" t="e">
        <v>#NAME?</v>
      </c>
      <c r="G14" s="132" t="s">
        <v>987</v>
      </c>
    </row>
    <row r="15" spans="1:7" ht="99.75" customHeight="1">
      <c r="A15" s="102">
        <f t="shared" si="1"/>
        <v>14</v>
      </c>
      <c r="B15" s="132" t="s">
        <v>975</v>
      </c>
      <c r="C15" s="132" t="s">
        <v>960</v>
      </c>
      <c r="D15" s="132" t="s">
        <v>988</v>
      </c>
      <c r="E15" s="132" t="str">
        <f t="shared" si="0"/>
        <v>1.2.07</v>
      </c>
      <c r="F15" s="126" t="e">
        <v>#NAME?</v>
      </c>
      <c r="G15" s="132" t="s">
        <v>989</v>
      </c>
    </row>
    <row r="16" spans="1:7" ht="99.75" customHeight="1">
      <c r="A16" s="102">
        <f t="shared" si="1"/>
        <v>15</v>
      </c>
      <c r="B16" s="132" t="s">
        <v>975</v>
      </c>
      <c r="C16" s="132" t="s">
        <v>960</v>
      </c>
      <c r="D16" s="132" t="s">
        <v>990</v>
      </c>
      <c r="E16" s="132" t="str">
        <f t="shared" si="0"/>
        <v>1.2.08</v>
      </c>
      <c r="F16" s="126" t="e">
        <v>#NAME?</v>
      </c>
      <c r="G16" s="132" t="s">
        <v>991</v>
      </c>
    </row>
    <row r="17" spans="1:7" ht="99.75" customHeight="1">
      <c r="A17" s="102">
        <f t="shared" si="1"/>
        <v>16</v>
      </c>
      <c r="B17" s="132" t="s">
        <v>992</v>
      </c>
      <c r="C17" s="132" t="s">
        <v>960</v>
      </c>
      <c r="D17" s="132" t="s">
        <v>993</v>
      </c>
      <c r="E17" s="132" t="str">
        <f t="shared" si="0"/>
        <v>1.3.01</v>
      </c>
      <c r="F17" s="126" t="e">
        <v>#NAME?</v>
      </c>
      <c r="G17" s="132" t="s">
        <v>994</v>
      </c>
    </row>
    <row r="18" spans="1:7" ht="99.75" customHeight="1">
      <c r="A18" s="102">
        <f t="shared" si="1"/>
        <v>17</v>
      </c>
      <c r="B18" s="132" t="s">
        <v>992</v>
      </c>
      <c r="C18" s="132" t="s">
        <v>960</v>
      </c>
      <c r="D18" s="132" t="s">
        <v>995</v>
      </c>
      <c r="E18" s="132" t="str">
        <f t="shared" si="0"/>
        <v>1.3.02</v>
      </c>
      <c r="F18" s="126" t="e">
        <v>#NAME?</v>
      </c>
      <c r="G18" s="132" t="s">
        <v>996</v>
      </c>
    </row>
    <row r="19" spans="1:7" ht="99.75" customHeight="1">
      <c r="A19" s="102">
        <f t="shared" si="1"/>
        <v>18</v>
      </c>
      <c r="B19" s="132" t="s">
        <v>992</v>
      </c>
      <c r="C19" s="132" t="s">
        <v>960</v>
      </c>
      <c r="D19" s="132" t="s">
        <v>997</v>
      </c>
      <c r="E19" s="132" t="str">
        <f t="shared" si="0"/>
        <v>1.3.03</v>
      </c>
      <c r="F19" s="126" t="e">
        <v>#NAME?</v>
      </c>
      <c r="G19" s="132" t="s">
        <v>998</v>
      </c>
    </row>
    <row r="20" spans="1:7" ht="99.75" customHeight="1">
      <c r="A20" s="102">
        <f t="shared" si="1"/>
        <v>19</v>
      </c>
      <c r="B20" s="132" t="s">
        <v>992</v>
      </c>
      <c r="C20" s="132" t="s">
        <v>960</v>
      </c>
      <c r="D20" s="132" t="s">
        <v>999</v>
      </c>
      <c r="E20" s="132" t="str">
        <f t="shared" si="0"/>
        <v>1.3.04</v>
      </c>
      <c r="F20" s="126" t="e">
        <v>#NAME?</v>
      </c>
      <c r="G20" s="132" t="s">
        <v>1000</v>
      </c>
    </row>
    <row r="21" spans="1:7" ht="99.75" customHeight="1">
      <c r="A21" s="102">
        <f t="shared" si="1"/>
        <v>20</v>
      </c>
      <c r="B21" s="132" t="s">
        <v>992</v>
      </c>
      <c r="C21" s="132" t="s">
        <v>960</v>
      </c>
      <c r="D21" s="132" t="s">
        <v>1001</v>
      </c>
      <c r="E21" s="132" t="str">
        <f t="shared" si="0"/>
        <v>1.3.05</v>
      </c>
      <c r="F21" s="126" t="e">
        <v>#NAME?</v>
      </c>
      <c r="G21" s="132" t="s">
        <v>1002</v>
      </c>
    </row>
    <row r="22" spans="1:7" ht="99.75" customHeight="1">
      <c r="A22" s="102">
        <f t="shared" si="1"/>
        <v>21</v>
      </c>
      <c r="B22" s="132" t="s">
        <v>992</v>
      </c>
      <c r="C22" s="132" t="s">
        <v>960</v>
      </c>
      <c r="D22" s="132" t="s">
        <v>1003</v>
      </c>
      <c r="E22" s="132" t="str">
        <f t="shared" si="0"/>
        <v>1.3.06</v>
      </c>
      <c r="F22" s="126" t="e">
        <v>#NAME?</v>
      </c>
      <c r="G22" s="132" t="s">
        <v>1004</v>
      </c>
    </row>
    <row r="23" spans="1:7" ht="99.75" customHeight="1">
      <c r="A23" s="102">
        <f t="shared" si="1"/>
        <v>22</v>
      </c>
      <c r="B23" s="132" t="s">
        <v>992</v>
      </c>
      <c r="C23" s="132" t="s">
        <v>960</v>
      </c>
      <c r="D23" s="132" t="s">
        <v>1005</v>
      </c>
      <c r="E23" s="132" t="str">
        <f t="shared" si="0"/>
        <v>1.3.07</v>
      </c>
      <c r="F23" s="126" t="e">
        <v>#NAME?</v>
      </c>
      <c r="G23" s="132" t="s">
        <v>1006</v>
      </c>
    </row>
    <row r="24" spans="1:7" ht="99.75" customHeight="1">
      <c r="A24" s="102">
        <f t="shared" si="1"/>
        <v>23</v>
      </c>
      <c r="B24" s="132" t="s">
        <v>992</v>
      </c>
      <c r="C24" s="132" t="s">
        <v>960</v>
      </c>
      <c r="D24" s="132" t="s">
        <v>1007</v>
      </c>
      <c r="E24" s="132" t="str">
        <f t="shared" si="0"/>
        <v>1.3.08</v>
      </c>
      <c r="F24" s="126" t="e">
        <v>#NAME?</v>
      </c>
      <c r="G24" s="132" t="s">
        <v>1008</v>
      </c>
    </row>
    <row r="25" spans="1:7" ht="99.75" customHeight="1">
      <c r="A25" s="102">
        <v>1</v>
      </c>
      <c r="B25" s="132" t="s">
        <v>1009</v>
      </c>
      <c r="C25" s="132" t="s">
        <v>960</v>
      </c>
      <c r="D25" s="132" t="s">
        <v>1010</v>
      </c>
      <c r="E25" s="132" t="str">
        <f t="shared" si="0"/>
        <v>1.4.01</v>
      </c>
      <c r="F25" s="126" t="e">
        <v>#NAME?</v>
      </c>
      <c r="G25" s="132" t="s">
        <v>1011</v>
      </c>
    </row>
    <row r="26" spans="1:7" ht="99.75" customHeight="1">
      <c r="A26" s="102">
        <f t="shared" ref="A26:A99" si="2">A25+1</f>
        <v>2</v>
      </c>
      <c r="B26" s="132" t="s">
        <v>1009</v>
      </c>
      <c r="C26" s="132" t="s">
        <v>960</v>
      </c>
      <c r="D26" s="132" t="s">
        <v>1012</v>
      </c>
      <c r="E26" s="132" t="str">
        <f t="shared" si="0"/>
        <v>1.4.02</v>
      </c>
      <c r="F26" s="126" t="e">
        <v>#NAME?</v>
      </c>
      <c r="G26" s="132" t="s">
        <v>1013</v>
      </c>
    </row>
    <row r="27" spans="1:7" ht="99.75" customHeight="1">
      <c r="A27" s="102">
        <f t="shared" si="2"/>
        <v>3</v>
      </c>
      <c r="B27" s="132" t="s">
        <v>1009</v>
      </c>
      <c r="C27" s="132" t="s">
        <v>960</v>
      </c>
      <c r="D27" s="132" t="s">
        <v>1014</v>
      </c>
      <c r="E27" s="132" t="str">
        <f t="shared" si="0"/>
        <v>1.4.03</v>
      </c>
      <c r="F27" s="126" t="e">
        <v>#NAME?</v>
      </c>
      <c r="G27" s="132" t="s">
        <v>1015</v>
      </c>
    </row>
    <row r="28" spans="1:7" ht="99.75" customHeight="1">
      <c r="A28" s="102">
        <f t="shared" si="2"/>
        <v>4</v>
      </c>
      <c r="B28" s="132" t="s">
        <v>1009</v>
      </c>
      <c r="C28" s="132" t="s">
        <v>960</v>
      </c>
      <c r="D28" s="132" t="s">
        <v>1016</v>
      </c>
      <c r="E28" s="132" t="str">
        <f t="shared" si="0"/>
        <v>1.4.04</v>
      </c>
      <c r="F28" s="126" t="e">
        <v>#NAME?</v>
      </c>
      <c r="G28" s="132" t="s">
        <v>1017</v>
      </c>
    </row>
    <row r="29" spans="1:7" ht="99.75" customHeight="1">
      <c r="A29" s="102">
        <f t="shared" si="2"/>
        <v>5</v>
      </c>
      <c r="B29" s="132" t="s">
        <v>1009</v>
      </c>
      <c r="C29" s="132" t="s">
        <v>960</v>
      </c>
      <c r="D29" s="132" t="s">
        <v>1018</v>
      </c>
      <c r="E29" s="132" t="str">
        <f t="shared" si="0"/>
        <v>1.4.05</v>
      </c>
      <c r="F29" s="126" t="e">
        <v>#NAME?</v>
      </c>
      <c r="G29" s="132" t="s">
        <v>1019</v>
      </c>
    </row>
    <row r="30" spans="1:7" ht="99.75" customHeight="1">
      <c r="A30" s="102">
        <f t="shared" si="2"/>
        <v>6</v>
      </c>
      <c r="B30" s="132" t="s">
        <v>1009</v>
      </c>
      <c r="C30" s="132" t="s">
        <v>960</v>
      </c>
      <c r="D30" s="132" t="s">
        <v>1020</v>
      </c>
      <c r="E30" s="132" t="str">
        <f t="shared" si="0"/>
        <v>1.4.06</v>
      </c>
      <c r="F30" s="126" t="e">
        <v>#NAME?</v>
      </c>
      <c r="G30" s="132" t="s">
        <v>1021</v>
      </c>
    </row>
    <row r="31" spans="1:7" ht="99.75" customHeight="1">
      <c r="A31" s="102">
        <f t="shared" si="2"/>
        <v>7</v>
      </c>
      <c r="B31" s="132" t="s">
        <v>1009</v>
      </c>
      <c r="C31" s="132" t="s">
        <v>960</v>
      </c>
      <c r="D31" s="132" t="s">
        <v>1022</v>
      </c>
      <c r="E31" s="132" t="str">
        <f t="shared" si="0"/>
        <v>1.4.07</v>
      </c>
      <c r="F31" s="126" t="e">
        <v>#NAME?</v>
      </c>
      <c r="G31" s="132" t="s">
        <v>1023</v>
      </c>
    </row>
    <row r="32" spans="1:7" ht="99.75" customHeight="1">
      <c r="A32" s="102">
        <f t="shared" si="2"/>
        <v>8</v>
      </c>
      <c r="B32" s="132" t="s">
        <v>1024</v>
      </c>
      <c r="C32" s="132" t="s">
        <v>960</v>
      </c>
      <c r="D32" s="132" t="s">
        <v>1025</v>
      </c>
      <c r="E32" s="132" t="str">
        <f t="shared" si="0"/>
        <v>2.1.01</v>
      </c>
      <c r="F32" s="126" t="e">
        <v>#NAME?</v>
      </c>
      <c r="G32" s="132" t="s">
        <v>1026</v>
      </c>
    </row>
    <row r="33" spans="1:7" ht="99.75" customHeight="1">
      <c r="A33" s="102">
        <f t="shared" si="2"/>
        <v>9</v>
      </c>
      <c r="B33" s="132" t="s">
        <v>1024</v>
      </c>
      <c r="C33" s="132" t="s">
        <v>960</v>
      </c>
      <c r="D33" s="132" t="s">
        <v>1027</v>
      </c>
      <c r="E33" s="132" t="str">
        <f t="shared" si="0"/>
        <v>2.1.02</v>
      </c>
      <c r="F33" s="126" t="e">
        <v>#NAME?</v>
      </c>
      <c r="G33" s="132" t="s">
        <v>1028</v>
      </c>
    </row>
    <row r="34" spans="1:7" ht="99.75" customHeight="1">
      <c r="A34" s="102">
        <f t="shared" si="2"/>
        <v>10</v>
      </c>
      <c r="B34" s="132" t="s">
        <v>1024</v>
      </c>
      <c r="C34" s="132" t="s">
        <v>960</v>
      </c>
      <c r="D34" s="132" t="s">
        <v>1029</v>
      </c>
      <c r="E34" s="132" t="str">
        <f t="shared" si="0"/>
        <v>2.1.03</v>
      </c>
      <c r="F34" s="126" t="e">
        <v>#NAME?</v>
      </c>
      <c r="G34" s="132" t="s">
        <v>1030</v>
      </c>
    </row>
    <row r="35" spans="1:7" ht="99.75" customHeight="1">
      <c r="A35" s="102">
        <f t="shared" si="2"/>
        <v>11</v>
      </c>
      <c r="B35" s="132" t="s">
        <v>1024</v>
      </c>
      <c r="C35" s="132" t="s">
        <v>960</v>
      </c>
      <c r="D35" s="132" t="s">
        <v>1031</v>
      </c>
      <c r="E35" s="132" t="str">
        <f t="shared" si="0"/>
        <v>2.1.04</v>
      </c>
      <c r="F35" s="126" t="e">
        <v>#NAME?</v>
      </c>
      <c r="G35" s="132" t="s">
        <v>1032</v>
      </c>
    </row>
    <row r="36" spans="1:7" ht="99.75" customHeight="1">
      <c r="A36" s="102">
        <f t="shared" si="2"/>
        <v>12</v>
      </c>
      <c r="B36" s="132" t="s">
        <v>1024</v>
      </c>
      <c r="C36" s="132" t="s">
        <v>960</v>
      </c>
      <c r="D36" s="132" t="s">
        <v>1033</v>
      </c>
      <c r="E36" s="132" t="str">
        <f t="shared" si="0"/>
        <v>2.1.05</v>
      </c>
      <c r="F36" s="126" t="e">
        <v>#NAME?</v>
      </c>
      <c r="G36" s="132" t="s">
        <v>1034</v>
      </c>
    </row>
    <row r="37" spans="1:7" ht="99.75" customHeight="1">
      <c r="A37" s="102">
        <f t="shared" si="2"/>
        <v>13</v>
      </c>
      <c r="B37" s="132" t="s">
        <v>1024</v>
      </c>
      <c r="C37" s="132" t="s">
        <v>960</v>
      </c>
      <c r="D37" s="132" t="s">
        <v>1035</v>
      </c>
      <c r="E37" s="132" t="str">
        <f t="shared" si="0"/>
        <v>2.1.06</v>
      </c>
      <c r="F37" s="126" t="e">
        <v>#NAME?</v>
      </c>
      <c r="G37" s="132" t="s">
        <v>1036</v>
      </c>
    </row>
    <row r="38" spans="1:7" ht="99.75" customHeight="1">
      <c r="A38" s="102">
        <f t="shared" si="2"/>
        <v>14</v>
      </c>
      <c r="B38" s="132" t="s">
        <v>1024</v>
      </c>
      <c r="C38" s="132" t="s">
        <v>960</v>
      </c>
      <c r="D38" s="132" t="s">
        <v>1037</v>
      </c>
      <c r="E38" s="132" t="str">
        <f t="shared" si="0"/>
        <v>2.1.07</v>
      </c>
      <c r="F38" s="126" t="e">
        <v>#NAME?</v>
      </c>
      <c r="G38" s="132" t="s">
        <v>1038</v>
      </c>
    </row>
    <row r="39" spans="1:7" ht="99.75" customHeight="1">
      <c r="A39" s="102">
        <f t="shared" si="2"/>
        <v>15</v>
      </c>
      <c r="B39" s="132" t="s">
        <v>1024</v>
      </c>
      <c r="C39" s="132" t="s">
        <v>960</v>
      </c>
      <c r="D39" s="132" t="s">
        <v>1039</v>
      </c>
      <c r="E39" s="132" t="str">
        <f t="shared" si="0"/>
        <v>2.1.08</v>
      </c>
      <c r="F39" s="126" t="e">
        <v>#NAME?</v>
      </c>
      <c r="G39" s="132" t="s">
        <v>1040</v>
      </c>
    </row>
    <row r="40" spans="1:7" ht="99.75" customHeight="1">
      <c r="A40" s="102">
        <f t="shared" si="2"/>
        <v>16</v>
      </c>
      <c r="B40" s="132" t="s">
        <v>1024</v>
      </c>
      <c r="C40" s="132" t="s">
        <v>960</v>
      </c>
      <c r="D40" s="132" t="s">
        <v>1041</v>
      </c>
      <c r="E40" s="132" t="str">
        <f t="shared" si="0"/>
        <v>2.1.09</v>
      </c>
      <c r="F40" s="126" t="e">
        <v>#NAME?</v>
      </c>
      <c r="G40" s="132" t="s">
        <v>1042</v>
      </c>
    </row>
    <row r="41" spans="1:7" ht="99.75" customHeight="1">
      <c r="A41" s="102">
        <f t="shared" si="2"/>
        <v>17</v>
      </c>
      <c r="B41" s="132" t="s">
        <v>1024</v>
      </c>
      <c r="C41" s="132" t="s">
        <v>960</v>
      </c>
      <c r="D41" s="132" t="s">
        <v>1043</v>
      </c>
      <c r="E41" s="132" t="str">
        <f t="shared" si="0"/>
        <v>2.1.10</v>
      </c>
      <c r="F41" s="126" t="e">
        <v>#NAME?</v>
      </c>
      <c r="G41" s="132" t="s">
        <v>1044</v>
      </c>
    </row>
    <row r="42" spans="1:7" ht="99.75" customHeight="1">
      <c r="A42" s="102">
        <f t="shared" si="2"/>
        <v>18</v>
      </c>
      <c r="B42" s="132" t="s">
        <v>1024</v>
      </c>
      <c r="C42" s="132" t="s">
        <v>960</v>
      </c>
      <c r="D42" s="132" t="s">
        <v>1045</v>
      </c>
      <c r="E42" s="132" t="str">
        <f t="shared" si="0"/>
        <v>2.1.11</v>
      </c>
      <c r="F42" s="126" t="e">
        <v>#NAME?</v>
      </c>
      <c r="G42" s="132" t="s">
        <v>1046</v>
      </c>
    </row>
    <row r="43" spans="1:7" ht="99.75" customHeight="1">
      <c r="A43" s="102">
        <f t="shared" si="2"/>
        <v>19</v>
      </c>
      <c r="B43" s="132" t="s">
        <v>1024</v>
      </c>
      <c r="C43" s="132" t="s">
        <v>960</v>
      </c>
      <c r="D43" s="132" t="s">
        <v>1047</v>
      </c>
      <c r="E43" s="132" t="str">
        <f t="shared" si="0"/>
        <v>2.1.12</v>
      </c>
      <c r="F43" s="126" t="e">
        <v>#NAME?</v>
      </c>
      <c r="G43" s="132" t="s">
        <v>1048</v>
      </c>
    </row>
    <row r="44" spans="1:7" ht="99.75" customHeight="1">
      <c r="A44" s="102">
        <f t="shared" si="2"/>
        <v>20</v>
      </c>
      <c r="B44" s="132" t="s">
        <v>1024</v>
      </c>
      <c r="C44" s="132" t="s">
        <v>960</v>
      </c>
      <c r="D44" s="132" t="s">
        <v>1049</v>
      </c>
      <c r="E44" s="132" t="str">
        <f t="shared" si="0"/>
        <v>2.1.13</v>
      </c>
      <c r="F44" s="126" t="e">
        <v>#NAME?</v>
      </c>
      <c r="G44" s="132" t="s">
        <v>1050</v>
      </c>
    </row>
    <row r="45" spans="1:7" ht="99.75" customHeight="1">
      <c r="A45" s="102">
        <f t="shared" si="2"/>
        <v>21</v>
      </c>
      <c r="B45" s="132" t="s">
        <v>1024</v>
      </c>
      <c r="C45" s="132" t="s">
        <v>960</v>
      </c>
      <c r="D45" s="132" t="s">
        <v>1051</v>
      </c>
      <c r="E45" s="132" t="str">
        <f t="shared" si="0"/>
        <v>2.1.14</v>
      </c>
      <c r="F45" s="126" t="e">
        <v>#NAME?</v>
      </c>
      <c r="G45" s="132" t="s">
        <v>1052</v>
      </c>
    </row>
    <row r="46" spans="1:7" ht="99.75" customHeight="1">
      <c r="A46" s="102">
        <f t="shared" si="2"/>
        <v>22</v>
      </c>
      <c r="B46" s="132" t="s">
        <v>1024</v>
      </c>
      <c r="C46" s="132" t="s">
        <v>960</v>
      </c>
      <c r="D46" s="132" t="s">
        <v>1053</v>
      </c>
      <c r="E46" s="132" t="str">
        <f t="shared" si="0"/>
        <v>2.1.15</v>
      </c>
      <c r="F46" s="126" t="e">
        <v>#NAME?</v>
      </c>
      <c r="G46" s="132" t="s">
        <v>1054</v>
      </c>
    </row>
    <row r="47" spans="1:7" ht="99.75" customHeight="1">
      <c r="A47" s="102">
        <f t="shared" si="2"/>
        <v>23</v>
      </c>
      <c r="B47" s="132" t="s">
        <v>1024</v>
      </c>
      <c r="C47" s="132" t="s">
        <v>960</v>
      </c>
      <c r="D47" s="132" t="s">
        <v>1055</v>
      </c>
      <c r="E47" s="132" t="str">
        <f t="shared" si="0"/>
        <v>2.1.16</v>
      </c>
      <c r="F47" s="126" t="e">
        <v>#NAME?</v>
      </c>
      <c r="G47" s="132" t="s">
        <v>1056</v>
      </c>
    </row>
    <row r="48" spans="1:7" ht="99.75" customHeight="1">
      <c r="A48" s="102">
        <f t="shared" si="2"/>
        <v>24</v>
      </c>
      <c r="B48" s="132" t="s">
        <v>1024</v>
      </c>
      <c r="C48" s="132" t="s">
        <v>960</v>
      </c>
      <c r="D48" s="132" t="s">
        <v>1057</v>
      </c>
      <c r="E48" s="132" t="str">
        <f t="shared" si="0"/>
        <v>2.1.17</v>
      </c>
      <c r="F48" s="126" t="e">
        <v>#NAME?</v>
      </c>
      <c r="G48" s="132" t="s">
        <v>1058</v>
      </c>
    </row>
    <row r="49" spans="1:7" ht="99.75" customHeight="1">
      <c r="A49" s="102">
        <f t="shared" si="2"/>
        <v>25</v>
      </c>
      <c r="B49" s="132" t="s">
        <v>1024</v>
      </c>
      <c r="C49" s="132" t="s">
        <v>960</v>
      </c>
      <c r="D49" s="132" t="s">
        <v>1059</v>
      </c>
      <c r="E49" s="132" t="str">
        <f t="shared" si="0"/>
        <v>2.1.18</v>
      </c>
      <c r="F49" s="126" t="e">
        <v>#NAME?</v>
      </c>
      <c r="G49" s="132" t="s">
        <v>1060</v>
      </c>
    </row>
    <row r="50" spans="1:7" ht="99.75" customHeight="1">
      <c r="A50" s="102">
        <f t="shared" si="2"/>
        <v>26</v>
      </c>
      <c r="B50" s="132" t="s">
        <v>1061</v>
      </c>
      <c r="C50" s="132" t="s">
        <v>960</v>
      </c>
      <c r="D50" s="132" t="s">
        <v>1062</v>
      </c>
      <c r="E50" s="132" t="str">
        <f t="shared" si="0"/>
        <v>2.2.01</v>
      </c>
      <c r="F50" s="126" t="e">
        <v>#NAME?</v>
      </c>
      <c r="G50" s="132" t="s">
        <v>1063</v>
      </c>
    </row>
    <row r="51" spans="1:7" ht="99.75" customHeight="1">
      <c r="A51" s="102">
        <f t="shared" si="2"/>
        <v>27</v>
      </c>
      <c r="B51" s="132" t="s">
        <v>1061</v>
      </c>
      <c r="C51" s="132" t="s">
        <v>960</v>
      </c>
      <c r="D51" s="132" t="s">
        <v>1064</v>
      </c>
      <c r="E51" s="132" t="str">
        <f t="shared" si="0"/>
        <v>2.2.02</v>
      </c>
      <c r="F51" s="126" t="e">
        <v>#NAME?</v>
      </c>
      <c r="G51" s="132" t="s">
        <v>1065</v>
      </c>
    </row>
    <row r="52" spans="1:7" ht="99.75" customHeight="1">
      <c r="A52" s="102">
        <f t="shared" si="2"/>
        <v>28</v>
      </c>
      <c r="B52" s="132" t="s">
        <v>1061</v>
      </c>
      <c r="C52" s="132" t="s">
        <v>960</v>
      </c>
      <c r="D52" s="132" t="s">
        <v>1066</v>
      </c>
      <c r="E52" s="132" t="str">
        <f t="shared" si="0"/>
        <v>2.2.03</v>
      </c>
      <c r="F52" s="126" t="e">
        <v>#NAME?</v>
      </c>
      <c r="G52" s="132" t="s">
        <v>1067</v>
      </c>
    </row>
    <row r="53" spans="1:7" ht="99.75" customHeight="1">
      <c r="A53" s="102">
        <f t="shared" si="2"/>
        <v>29</v>
      </c>
      <c r="B53" s="132" t="s">
        <v>1061</v>
      </c>
      <c r="C53" s="132" t="s">
        <v>960</v>
      </c>
      <c r="D53" s="132" t="s">
        <v>1068</v>
      </c>
      <c r="E53" s="132" t="str">
        <f t="shared" si="0"/>
        <v>2.2.04</v>
      </c>
      <c r="F53" s="126" t="e">
        <v>#NAME?</v>
      </c>
      <c r="G53" s="132" t="s">
        <v>1069</v>
      </c>
    </row>
    <row r="54" spans="1:7" ht="99.75" customHeight="1">
      <c r="A54" s="102">
        <f t="shared" si="2"/>
        <v>30</v>
      </c>
      <c r="B54" s="132" t="s">
        <v>1061</v>
      </c>
      <c r="C54" s="132" t="s">
        <v>960</v>
      </c>
      <c r="D54" s="132" t="s">
        <v>1070</v>
      </c>
      <c r="E54" s="132" t="str">
        <f t="shared" si="0"/>
        <v>2.2.05</v>
      </c>
      <c r="F54" s="126" t="e">
        <v>#NAME?</v>
      </c>
      <c r="G54" s="132" t="s">
        <v>1071</v>
      </c>
    </row>
    <row r="55" spans="1:7" ht="99.75" customHeight="1">
      <c r="A55" s="102">
        <f t="shared" si="2"/>
        <v>31</v>
      </c>
      <c r="B55" s="132" t="s">
        <v>1061</v>
      </c>
      <c r="C55" s="132" t="s">
        <v>960</v>
      </c>
      <c r="D55" s="132" t="s">
        <v>1072</v>
      </c>
      <c r="E55" s="132" t="str">
        <f t="shared" si="0"/>
        <v>2.2.06</v>
      </c>
      <c r="F55" s="126" t="e">
        <v>#NAME?</v>
      </c>
      <c r="G55" s="132" t="s">
        <v>1073</v>
      </c>
    </row>
    <row r="56" spans="1:7" ht="99.75" customHeight="1">
      <c r="A56" s="102">
        <f t="shared" si="2"/>
        <v>32</v>
      </c>
      <c r="B56" s="132" t="s">
        <v>1061</v>
      </c>
      <c r="C56" s="132" t="s">
        <v>960</v>
      </c>
      <c r="D56" s="132" t="s">
        <v>1074</v>
      </c>
      <c r="E56" s="132" t="str">
        <f t="shared" si="0"/>
        <v>2.2.07</v>
      </c>
      <c r="F56" s="126" t="e">
        <v>#NAME?</v>
      </c>
      <c r="G56" s="132" t="s">
        <v>1075</v>
      </c>
    </row>
    <row r="57" spans="1:7" ht="99.75" customHeight="1">
      <c r="A57" s="102">
        <f t="shared" si="2"/>
        <v>33</v>
      </c>
      <c r="B57" s="132" t="s">
        <v>1061</v>
      </c>
      <c r="C57" s="132" t="s">
        <v>960</v>
      </c>
      <c r="D57" s="132" t="s">
        <v>1076</v>
      </c>
      <c r="E57" s="132" t="str">
        <f t="shared" si="0"/>
        <v>2.2.08</v>
      </c>
      <c r="F57" s="126" t="e">
        <v>#NAME?</v>
      </c>
      <c r="G57" s="132" t="s">
        <v>1077</v>
      </c>
    </row>
    <row r="58" spans="1:7" ht="99.75" customHeight="1">
      <c r="A58" s="102">
        <f t="shared" si="2"/>
        <v>34</v>
      </c>
      <c r="B58" s="132" t="s">
        <v>1061</v>
      </c>
      <c r="C58" s="132" t="s">
        <v>960</v>
      </c>
      <c r="D58" s="132" t="s">
        <v>1078</v>
      </c>
      <c r="E58" s="132" t="str">
        <f t="shared" si="0"/>
        <v>2.2.09</v>
      </c>
      <c r="F58" s="126" t="e">
        <v>#NAME?</v>
      </c>
      <c r="G58" s="132" t="s">
        <v>1079</v>
      </c>
    </row>
    <row r="59" spans="1:7" ht="99.75" customHeight="1">
      <c r="A59" s="102">
        <f t="shared" si="2"/>
        <v>35</v>
      </c>
      <c r="B59" s="132" t="s">
        <v>1061</v>
      </c>
      <c r="C59" s="132" t="s">
        <v>960</v>
      </c>
      <c r="D59" s="132" t="s">
        <v>1080</v>
      </c>
      <c r="E59" s="132" t="str">
        <f t="shared" si="0"/>
        <v>2.2.10</v>
      </c>
      <c r="F59" s="126" t="e">
        <v>#NAME?</v>
      </c>
      <c r="G59" s="132" t="s">
        <v>1081</v>
      </c>
    </row>
    <row r="60" spans="1:7" ht="99.75" customHeight="1">
      <c r="A60" s="102">
        <f t="shared" si="2"/>
        <v>36</v>
      </c>
      <c r="B60" s="132" t="s">
        <v>1061</v>
      </c>
      <c r="C60" s="132" t="s">
        <v>960</v>
      </c>
      <c r="D60" s="132" t="s">
        <v>1082</v>
      </c>
      <c r="E60" s="132" t="str">
        <f t="shared" si="0"/>
        <v>2.2.11</v>
      </c>
      <c r="F60" s="126" t="e">
        <v>#NAME?</v>
      </c>
      <c r="G60" s="132" t="s">
        <v>1083</v>
      </c>
    </row>
    <row r="61" spans="1:7" ht="99.75" customHeight="1">
      <c r="A61" s="102">
        <f t="shared" si="2"/>
        <v>37</v>
      </c>
      <c r="B61" s="132" t="s">
        <v>1084</v>
      </c>
      <c r="C61" s="132" t="s">
        <v>960</v>
      </c>
      <c r="D61" s="132" t="s">
        <v>1085</v>
      </c>
      <c r="E61" s="132" t="str">
        <f t="shared" si="0"/>
        <v>2.3.01</v>
      </c>
      <c r="F61" s="126" t="e">
        <v>#NAME?</v>
      </c>
      <c r="G61" s="132" t="s">
        <v>1086</v>
      </c>
    </row>
    <row r="62" spans="1:7" ht="99.75" customHeight="1">
      <c r="A62" s="102">
        <f t="shared" si="2"/>
        <v>38</v>
      </c>
      <c r="B62" s="132" t="s">
        <v>1084</v>
      </c>
      <c r="C62" s="132" t="s">
        <v>960</v>
      </c>
      <c r="D62" s="132" t="s">
        <v>1087</v>
      </c>
      <c r="E62" s="132" t="str">
        <f t="shared" si="0"/>
        <v>2.3.02</v>
      </c>
      <c r="F62" s="126" t="e">
        <v>#NAME?</v>
      </c>
      <c r="G62" s="132" t="s">
        <v>1088</v>
      </c>
    </row>
    <row r="63" spans="1:7" ht="99.75" customHeight="1">
      <c r="A63" s="102">
        <f t="shared" si="2"/>
        <v>39</v>
      </c>
      <c r="B63" s="132" t="s">
        <v>1084</v>
      </c>
      <c r="C63" s="132" t="s">
        <v>960</v>
      </c>
      <c r="D63" s="132" t="s">
        <v>1089</v>
      </c>
      <c r="E63" s="132" t="str">
        <f t="shared" si="0"/>
        <v>2.3.03</v>
      </c>
      <c r="F63" s="126" t="e">
        <v>#NAME?</v>
      </c>
      <c r="G63" s="132" t="s">
        <v>1090</v>
      </c>
    </row>
    <row r="64" spans="1:7" ht="99.75" customHeight="1">
      <c r="A64" s="102">
        <f t="shared" si="2"/>
        <v>40</v>
      </c>
      <c r="B64" s="132" t="s">
        <v>1084</v>
      </c>
      <c r="C64" s="132" t="s">
        <v>960</v>
      </c>
      <c r="D64" s="132" t="s">
        <v>1091</v>
      </c>
      <c r="E64" s="132" t="str">
        <f t="shared" si="0"/>
        <v>2.3.04</v>
      </c>
      <c r="F64" s="126" t="e">
        <v>#NAME?</v>
      </c>
      <c r="G64" s="132" t="s">
        <v>1092</v>
      </c>
    </row>
    <row r="65" spans="1:7" ht="99.75" customHeight="1">
      <c r="A65" s="102">
        <f t="shared" si="2"/>
        <v>41</v>
      </c>
      <c r="B65" s="132" t="s">
        <v>1084</v>
      </c>
      <c r="C65" s="132" t="s">
        <v>960</v>
      </c>
      <c r="D65" s="132" t="s">
        <v>1093</v>
      </c>
      <c r="E65" s="132" t="str">
        <f t="shared" si="0"/>
        <v>2.3.05</v>
      </c>
      <c r="F65" s="126" t="e">
        <v>#NAME?</v>
      </c>
      <c r="G65" s="132" t="s">
        <v>1094</v>
      </c>
    </row>
    <row r="66" spans="1:7" ht="99.75" customHeight="1">
      <c r="A66" s="102">
        <f t="shared" si="2"/>
        <v>42</v>
      </c>
      <c r="B66" s="132" t="s">
        <v>1084</v>
      </c>
      <c r="C66" s="132" t="s">
        <v>960</v>
      </c>
      <c r="D66" s="132" t="s">
        <v>1095</v>
      </c>
      <c r="E66" s="132" t="str">
        <f t="shared" si="0"/>
        <v>2.3.06</v>
      </c>
      <c r="F66" s="126" t="e">
        <v>#NAME?</v>
      </c>
      <c r="G66" s="132" t="s">
        <v>1096</v>
      </c>
    </row>
    <row r="67" spans="1:7" ht="99.75" customHeight="1">
      <c r="A67" s="102">
        <f t="shared" si="2"/>
        <v>43</v>
      </c>
      <c r="B67" s="132" t="s">
        <v>1084</v>
      </c>
      <c r="C67" s="132" t="s">
        <v>960</v>
      </c>
      <c r="D67" s="132" t="s">
        <v>1097</v>
      </c>
      <c r="E67" s="132" t="str">
        <f t="shared" si="0"/>
        <v>2.3.07</v>
      </c>
      <c r="F67" s="126" t="e">
        <v>#NAME?</v>
      </c>
      <c r="G67" s="132" t="s">
        <v>1098</v>
      </c>
    </row>
    <row r="68" spans="1:7" ht="99.75" customHeight="1">
      <c r="A68" s="102">
        <f t="shared" si="2"/>
        <v>44</v>
      </c>
      <c r="B68" s="132" t="s">
        <v>1084</v>
      </c>
      <c r="C68" s="132" t="s">
        <v>960</v>
      </c>
      <c r="D68" s="132" t="s">
        <v>1099</v>
      </c>
      <c r="E68" s="132" t="str">
        <f t="shared" si="0"/>
        <v>2.3.08</v>
      </c>
      <c r="F68" s="126" t="e">
        <v>#NAME?</v>
      </c>
      <c r="G68" s="132" t="s">
        <v>1100</v>
      </c>
    </row>
    <row r="69" spans="1:7" ht="99.75" customHeight="1">
      <c r="A69" s="102">
        <f t="shared" si="2"/>
        <v>45</v>
      </c>
      <c r="B69" s="132" t="s">
        <v>1101</v>
      </c>
      <c r="C69" s="132" t="s">
        <v>960</v>
      </c>
      <c r="D69" s="132" t="s">
        <v>1102</v>
      </c>
      <c r="E69" s="132" t="str">
        <f t="shared" si="0"/>
        <v>3.1.01</v>
      </c>
      <c r="F69" s="126" t="e">
        <v>#NAME?</v>
      </c>
      <c r="G69" s="132" t="s">
        <v>1103</v>
      </c>
    </row>
    <row r="70" spans="1:7" ht="99.75" customHeight="1">
      <c r="A70" s="102">
        <f t="shared" si="2"/>
        <v>46</v>
      </c>
      <c r="B70" s="132" t="s">
        <v>1101</v>
      </c>
      <c r="C70" s="132" t="s">
        <v>960</v>
      </c>
      <c r="D70" s="132" t="s">
        <v>1104</v>
      </c>
      <c r="E70" s="132" t="str">
        <f t="shared" si="0"/>
        <v>3.1.02</v>
      </c>
      <c r="F70" s="126" t="e">
        <v>#NAME?</v>
      </c>
      <c r="G70" s="132" t="s">
        <v>1105</v>
      </c>
    </row>
    <row r="71" spans="1:7" ht="99.75" customHeight="1">
      <c r="A71" s="102">
        <f t="shared" si="2"/>
        <v>47</v>
      </c>
      <c r="B71" s="132" t="s">
        <v>1101</v>
      </c>
      <c r="C71" s="132" t="s">
        <v>960</v>
      </c>
      <c r="D71" s="132" t="s">
        <v>1106</v>
      </c>
      <c r="E71" s="132" t="str">
        <f t="shared" si="0"/>
        <v>3.1.03</v>
      </c>
      <c r="F71" s="126" t="e">
        <v>#NAME?</v>
      </c>
      <c r="G71" s="132" t="s">
        <v>1107</v>
      </c>
    </row>
    <row r="72" spans="1:7" ht="99.75" customHeight="1">
      <c r="A72" s="102">
        <f t="shared" si="2"/>
        <v>48</v>
      </c>
      <c r="B72" s="132" t="s">
        <v>1101</v>
      </c>
      <c r="C72" s="132" t="s">
        <v>960</v>
      </c>
      <c r="D72" s="132" t="s">
        <v>1108</v>
      </c>
      <c r="E72" s="132" t="str">
        <f t="shared" si="0"/>
        <v>3.1.04</v>
      </c>
      <c r="F72" s="126" t="e">
        <v>#NAME?</v>
      </c>
      <c r="G72" s="132" t="s">
        <v>1109</v>
      </c>
    </row>
    <row r="73" spans="1:7" ht="99.75" customHeight="1">
      <c r="A73" s="102">
        <f t="shared" si="2"/>
        <v>49</v>
      </c>
      <c r="B73" s="132" t="s">
        <v>1101</v>
      </c>
      <c r="C73" s="132" t="s">
        <v>960</v>
      </c>
      <c r="D73" s="132" t="s">
        <v>1110</v>
      </c>
      <c r="E73" s="132" t="str">
        <f t="shared" si="0"/>
        <v>3.1.05</v>
      </c>
      <c r="F73" s="126" t="e">
        <v>#NAME?</v>
      </c>
      <c r="G73" s="132" t="s">
        <v>1111</v>
      </c>
    </row>
    <row r="74" spans="1:7" ht="99.75" customHeight="1">
      <c r="A74" s="102">
        <f t="shared" si="2"/>
        <v>50</v>
      </c>
      <c r="B74" s="132" t="s">
        <v>1101</v>
      </c>
      <c r="C74" s="132" t="s">
        <v>960</v>
      </c>
      <c r="D74" s="132" t="s">
        <v>1112</v>
      </c>
      <c r="E74" s="132" t="str">
        <f t="shared" si="0"/>
        <v>3.1.06</v>
      </c>
      <c r="F74" s="126" t="e">
        <v>#NAME?</v>
      </c>
      <c r="G74" s="132" t="s">
        <v>1113</v>
      </c>
    </row>
    <row r="75" spans="1:7" ht="99.75" customHeight="1">
      <c r="A75" s="102">
        <f t="shared" si="2"/>
        <v>51</v>
      </c>
      <c r="B75" s="132" t="s">
        <v>1101</v>
      </c>
      <c r="C75" s="132" t="s">
        <v>960</v>
      </c>
      <c r="D75" s="132" t="s">
        <v>1114</v>
      </c>
      <c r="E75" s="132" t="str">
        <f t="shared" si="0"/>
        <v>3.1.07</v>
      </c>
      <c r="F75" s="126" t="e">
        <v>#NAME?</v>
      </c>
      <c r="G75" s="132" t="s">
        <v>1115</v>
      </c>
    </row>
    <row r="76" spans="1:7" ht="99.75" customHeight="1">
      <c r="A76" s="102">
        <f t="shared" si="2"/>
        <v>52</v>
      </c>
      <c r="B76" s="132" t="s">
        <v>1101</v>
      </c>
      <c r="C76" s="132" t="s">
        <v>960</v>
      </c>
      <c r="D76" s="132" t="s">
        <v>1116</v>
      </c>
      <c r="E76" s="132" t="str">
        <f t="shared" si="0"/>
        <v>3.1.08</v>
      </c>
      <c r="F76" s="126" t="e">
        <v>#NAME?</v>
      </c>
      <c r="G76" s="132" t="s">
        <v>1117</v>
      </c>
    </row>
    <row r="77" spans="1:7" ht="99.75" customHeight="1">
      <c r="A77" s="102">
        <f t="shared" si="2"/>
        <v>53</v>
      </c>
      <c r="B77" s="132" t="s">
        <v>1101</v>
      </c>
      <c r="C77" s="132" t="s">
        <v>960</v>
      </c>
      <c r="D77" s="132" t="s">
        <v>1118</v>
      </c>
      <c r="E77" s="132" t="str">
        <f t="shared" si="0"/>
        <v>3.1.09</v>
      </c>
      <c r="F77" s="126" t="e">
        <v>#NAME?</v>
      </c>
      <c r="G77" s="132" t="s">
        <v>1119</v>
      </c>
    </row>
    <row r="78" spans="1:7" ht="99.75" customHeight="1">
      <c r="A78" s="102">
        <f t="shared" si="2"/>
        <v>54</v>
      </c>
      <c r="B78" s="132" t="s">
        <v>1101</v>
      </c>
      <c r="C78" s="132" t="s">
        <v>960</v>
      </c>
      <c r="D78" s="132" t="s">
        <v>1120</v>
      </c>
      <c r="E78" s="132" t="str">
        <f t="shared" si="0"/>
        <v>3.1.10</v>
      </c>
      <c r="F78" s="126" t="e">
        <v>#NAME?</v>
      </c>
      <c r="G78" s="132" t="s">
        <v>1121</v>
      </c>
    </row>
    <row r="79" spans="1:7" ht="99.75" customHeight="1">
      <c r="A79" s="102">
        <f t="shared" si="2"/>
        <v>55</v>
      </c>
      <c r="B79" s="132" t="s">
        <v>1101</v>
      </c>
      <c r="C79" s="132" t="s">
        <v>960</v>
      </c>
      <c r="D79" s="132" t="s">
        <v>1122</v>
      </c>
      <c r="E79" s="132" t="str">
        <f t="shared" si="0"/>
        <v>3.1.11</v>
      </c>
      <c r="F79" s="126" t="e">
        <v>#NAME?</v>
      </c>
      <c r="G79" s="132" t="s">
        <v>1123</v>
      </c>
    </row>
    <row r="80" spans="1:7" ht="99.75" customHeight="1">
      <c r="A80" s="102">
        <f t="shared" si="2"/>
        <v>56</v>
      </c>
      <c r="B80" s="132" t="s">
        <v>1101</v>
      </c>
      <c r="C80" s="132" t="s">
        <v>960</v>
      </c>
      <c r="D80" s="132" t="s">
        <v>1124</v>
      </c>
      <c r="E80" s="132" t="str">
        <f t="shared" si="0"/>
        <v>3.1.12</v>
      </c>
      <c r="F80" s="126" t="e">
        <v>#NAME?</v>
      </c>
      <c r="G80" s="132" t="s">
        <v>1125</v>
      </c>
    </row>
    <row r="81" spans="1:7" ht="99.75" customHeight="1">
      <c r="A81" s="102">
        <f t="shared" si="2"/>
        <v>57</v>
      </c>
      <c r="B81" s="132" t="s">
        <v>1101</v>
      </c>
      <c r="C81" s="132" t="s">
        <v>960</v>
      </c>
      <c r="D81" s="132" t="s">
        <v>1126</v>
      </c>
      <c r="E81" s="132" t="str">
        <f t="shared" si="0"/>
        <v>3.1.13</v>
      </c>
      <c r="F81" s="126" t="e">
        <v>#NAME?</v>
      </c>
      <c r="G81" s="132" t="s">
        <v>1127</v>
      </c>
    </row>
    <row r="82" spans="1:7" ht="99.75" customHeight="1">
      <c r="A82" s="102">
        <f t="shared" si="2"/>
        <v>58</v>
      </c>
      <c r="B82" s="132" t="s">
        <v>1101</v>
      </c>
      <c r="C82" s="132" t="s">
        <v>960</v>
      </c>
      <c r="D82" s="132" t="s">
        <v>1128</v>
      </c>
      <c r="E82" s="132" t="str">
        <f t="shared" si="0"/>
        <v>3.1.14</v>
      </c>
      <c r="F82" s="126" t="e">
        <v>#NAME?</v>
      </c>
      <c r="G82" s="132" t="s">
        <v>1129</v>
      </c>
    </row>
    <row r="83" spans="1:7" ht="99.75" customHeight="1">
      <c r="A83" s="102">
        <f t="shared" si="2"/>
        <v>59</v>
      </c>
      <c r="B83" s="132" t="s">
        <v>1101</v>
      </c>
      <c r="C83" s="132" t="s">
        <v>960</v>
      </c>
      <c r="D83" s="132" t="s">
        <v>1130</v>
      </c>
      <c r="E83" s="132" t="str">
        <f t="shared" si="0"/>
        <v>3.1.15</v>
      </c>
      <c r="F83" s="126" t="e">
        <v>#NAME?</v>
      </c>
      <c r="G83" s="132" t="s">
        <v>1131</v>
      </c>
    </row>
    <row r="84" spans="1:7" ht="99.75" customHeight="1">
      <c r="A84" s="102">
        <f t="shared" si="2"/>
        <v>60</v>
      </c>
      <c r="B84" s="132" t="s">
        <v>1101</v>
      </c>
      <c r="C84" s="132" t="s">
        <v>960</v>
      </c>
      <c r="D84" s="132" t="s">
        <v>1132</v>
      </c>
      <c r="E84" s="132" t="str">
        <f t="shared" si="0"/>
        <v>3.1.16</v>
      </c>
      <c r="F84" s="126" t="e">
        <v>#NAME?</v>
      </c>
      <c r="G84" s="132" t="s">
        <v>1133</v>
      </c>
    </row>
    <row r="85" spans="1:7" ht="99.75" customHeight="1">
      <c r="A85" s="102">
        <f t="shared" si="2"/>
        <v>61</v>
      </c>
      <c r="B85" s="132" t="s">
        <v>1101</v>
      </c>
      <c r="C85" s="132" t="s">
        <v>960</v>
      </c>
      <c r="D85" s="132" t="s">
        <v>1134</v>
      </c>
      <c r="E85" s="132" t="str">
        <f t="shared" si="0"/>
        <v>3.1.17</v>
      </c>
      <c r="F85" s="126" t="e">
        <v>#NAME?</v>
      </c>
      <c r="G85" s="132" t="s">
        <v>1135</v>
      </c>
    </row>
    <row r="86" spans="1:7" ht="99.75" customHeight="1">
      <c r="A86" s="102">
        <f t="shared" si="2"/>
        <v>62</v>
      </c>
      <c r="B86" s="132" t="s">
        <v>1101</v>
      </c>
      <c r="C86" s="132" t="s">
        <v>960</v>
      </c>
      <c r="D86" s="132" t="s">
        <v>1136</v>
      </c>
      <c r="E86" s="132" t="str">
        <f t="shared" si="0"/>
        <v>3.1.18</v>
      </c>
      <c r="F86" s="126" t="e">
        <v>#NAME?</v>
      </c>
      <c r="G86" s="132" t="s">
        <v>1137</v>
      </c>
    </row>
    <row r="87" spans="1:7" ht="99.75" customHeight="1">
      <c r="A87" s="102">
        <f t="shared" si="2"/>
        <v>63</v>
      </c>
      <c r="B87" s="132" t="s">
        <v>1101</v>
      </c>
      <c r="C87" s="132" t="s">
        <v>960</v>
      </c>
      <c r="D87" s="132" t="s">
        <v>1138</v>
      </c>
      <c r="E87" s="132" t="str">
        <f t="shared" si="0"/>
        <v>3.1.19</v>
      </c>
      <c r="F87" s="126" t="e">
        <v>#NAME?</v>
      </c>
      <c r="G87" s="132" t="s">
        <v>1139</v>
      </c>
    </row>
    <row r="88" spans="1:7" ht="99.75" customHeight="1">
      <c r="A88" s="102">
        <f t="shared" si="2"/>
        <v>64</v>
      </c>
      <c r="B88" s="132" t="s">
        <v>1101</v>
      </c>
      <c r="C88" s="132" t="s">
        <v>960</v>
      </c>
      <c r="D88" s="132" t="s">
        <v>1140</v>
      </c>
      <c r="E88" s="132" t="str">
        <f t="shared" si="0"/>
        <v>3.1.20</v>
      </c>
      <c r="F88" s="126" t="e">
        <v>#NAME?</v>
      </c>
      <c r="G88" s="132" t="s">
        <v>1141</v>
      </c>
    </row>
    <row r="89" spans="1:7" ht="99.75" customHeight="1">
      <c r="A89" s="102">
        <f t="shared" si="2"/>
        <v>65</v>
      </c>
      <c r="B89" s="132" t="s">
        <v>1142</v>
      </c>
      <c r="C89" s="132" t="s">
        <v>960</v>
      </c>
      <c r="D89" s="132" t="s">
        <v>1143</v>
      </c>
      <c r="E89" s="132" t="str">
        <f t="shared" si="0"/>
        <v>3.2.01</v>
      </c>
      <c r="F89" s="126" t="e">
        <v>#NAME?</v>
      </c>
      <c r="G89" s="132" t="s">
        <v>1144</v>
      </c>
    </row>
    <row r="90" spans="1:7" ht="99.75" customHeight="1">
      <c r="A90" s="102">
        <f t="shared" si="2"/>
        <v>66</v>
      </c>
      <c r="B90" s="132" t="s">
        <v>1142</v>
      </c>
      <c r="C90" s="132" t="s">
        <v>960</v>
      </c>
      <c r="D90" s="132" t="s">
        <v>1145</v>
      </c>
      <c r="E90" s="132" t="str">
        <f t="shared" si="0"/>
        <v>3.2.02</v>
      </c>
      <c r="F90" s="126" t="e">
        <v>#NAME?</v>
      </c>
      <c r="G90" s="132" t="s">
        <v>1146</v>
      </c>
    </row>
    <row r="91" spans="1:7" ht="99.75" customHeight="1">
      <c r="A91" s="102">
        <f t="shared" si="2"/>
        <v>67</v>
      </c>
      <c r="B91" s="132" t="s">
        <v>1142</v>
      </c>
      <c r="C91" s="132" t="s">
        <v>960</v>
      </c>
      <c r="D91" s="132" t="s">
        <v>1147</v>
      </c>
      <c r="E91" s="132" t="str">
        <f t="shared" si="0"/>
        <v>3.2.03</v>
      </c>
      <c r="F91" s="126" t="e">
        <v>#NAME?</v>
      </c>
      <c r="G91" s="132" t="s">
        <v>1148</v>
      </c>
    </row>
    <row r="92" spans="1:7" ht="99.75" customHeight="1">
      <c r="A92" s="102">
        <f t="shared" si="2"/>
        <v>68</v>
      </c>
      <c r="B92" s="132" t="s">
        <v>1142</v>
      </c>
      <c r="C92" s="132" t="s">
        <v>960</v>
      </c>
      <c r="D92" s="132" t="s">
        <v>1149</v>
      </c>
      <c r="E92" s="132" t="str">
        <f t="shared" si="0"/>
        <v>3.2.04</v>
      </c>
      <c r="F92" s="126" t="e">
        <v>#NAME?</v>
      </c>
      <c r="G92" s="132" t="s">
        <v>1150</v>
      </c>
    </row>
    <row r="93" spans="1:7" ht="99.75" customHeight="1">
      <c r="A93" s="102">
        <f t="shared" si="2"/>
        <v>69</v>
      </c>
      <c r="B93" s="132" t="s">
        <v>1142</v>
      </c>
      <c r="C93" s="132" t="s">
        <v>960</v>
      </c>
      <c r="D93" s="132" t="s">
        <v>1151</v>
      </c>
      <c r="E93" s="132" t="str">
        <f t="shared" si="0"/>
        <v>3.2.05</v>
      </c>
      <c r="F93" s="126" t="e">
        <v>#NAME?</v>
      </c>
      <c r="G93" s="132" t="s">
        <v>1152</v>
      </c>
    </row>
    <row r="94" spans="1:7" ht="99.75" customHeight="1">
      <c r="A94" s="102">
        <f t="shared" si="2"/>
        <v>70</v>
      </c>
      <c r="B94" s="132" t="s">
        <v>1142</v>
      </c>
      <c r="C94" s="132" t="s">
        <v>960</v>
      </c>
      <c r="D94" s="132" t="s">
        <v>1153</v>
      </c>
      <c r="E94" s="132" t="str">
        <f t="shared" si="0"/>
        <v>3.2.06</v>
      </c>
      <c r="F94" s="126" t="e">
        <v>#NAME?</v>
      </c>
      <c r="G94" s="132" t="s">
        <v>1154</v>
      </c>
    </row>
    <row r="95" spans="1:7" ht="99.75" customHeight="1">
      <c r="A95" s="102">
        <f t="shared" si="2"/>
        <v>71</v>
      </c>
      <c r="B95" s="132" t="s">
        <v>1142</v>
      </c>
      <c r="C95" s="132" t="s">
        <v>960</v>
      </c>
      <c r="D95" s="132" t="s">
        <v>1155</v>
      </c>
      <c r="E95" s="132" t="str">
        <f t="shared" si="0"/>
        <v>3.2.07</v>
      </c>
      <c r="F95" s="126" t="e">
        <v>#NAME?</v>
      </c>
      <c r="G95" s="132" t="s">
        <v>1156</v>
      </c>
    </row>
    <row r="96" spans="1:7" ht="99.75" customHeight="1">
      <c r="A96" s="102">
        <f t="shared" si="2"/>
        <v>72</v>
      </c>
      <c r="B96" s="132" t="s">
        <v>1142</v>
      </c>
      <c r="C96" s="132" t="s">
        <v>960</v>
      </c>
      <c r="D96" s="132" t="s">
        <v>1157</v>
      </c>
      <c r="E96" s="132" t="str">
        <f t="shared" si="0"/>
        <v>3.2.08</v>
      </c>
      <c r="F96" s="126" t="e">
        <v>#NAME?</v>
      </c>
      <c r="G96" s="132" t="s">
        <v>1158</v>
      </c>
    </row>
    <row r="97" spans="1:7" ht="99.75" customHeight="1">
      <c r="A97" s="102">
        <f t="shared" si="2"/>
        <v>73</v>
      </c>
      <c r="B97" s="132" t="s">
        <v>1142</v>
      </c>
      <c r="C97" s="132" t="s">
        <v>960</v>
      </c>
      <c r="D97" s="132" t="s">
        <v>1159</v>
      </c>
      <c r="E97" s="132" t="str">
        <f t="shared" si="0"/>
        <v>3.2.09</v>
      </c>
      <c r="F97" s="126" t="e">
        <v>#NAME?</v>
      </c>
      <c r="G97" s="132" t="s">
        <v>1160</v>
      </c>
    </row>
    <row r="98" spans="1:7" ht="99.75" customHeight="1">
      <c r="A98" s="102">
        <f t="shared" si="2"/>
        <v>74</v>
      </c>
      <c r="B98" s="132" t="s">
        <v>1161</v>
      </c>
      <c r="C98" s="132" t="s">
        <v>960</v>
      </c>
      <c r="D98" s="132" t="s">
        <v>1162</v>
      </c>
      <c r="E98" s="132" t="str">
        <f t="shared" si="0"/>
        <v>บันทึกท้ายบท เทอม 2</v>
      </c>
      <c r="F98" s="126" t="e">
        <v>#NAME?</v>
      </c>
      <c r="G98" s="132" t="s">
        <v>1163</v>
      </c>
    </row>
    <row r="99" spans="1:7" ht="99.75" customHeight="1">
      <c r="A99" s="102">
        <f t="shared" si="2"/>
        <v>75</v>
      </c>
      <c r="B99" s="132" t="s">
        <v>1161</v>
      </c>
      <c r="C99" s="132" t="s">
        <v>960</v>
      </c>
      <c r="D99" s="132" t="s">
        <v>1164</v>
      </c>
      <c r="E99" s="132" t="str">
        <f t="shared" si="0"/>
        <v>บันทึกท้ายบท เทอมที่ 1</v>
      </c>
      <c r="F99" s="126" t="e">
        <v>#NAME?</v>
      </c>
      <c r="G99" s="132" t="s">
        <v>1165</v>
      </c>
    </row>
    <row r="100" spans="1:7" ht="15.75" customHeight="1"/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1) ลิงก์วันปฐมนิเทศ</vt:lpstr>
      <vt:lpstr>2)ลิงก์เรียนประจำวัน</vt:lpstr>
      <vt:lpstr>3) ลิงก์วันเรียนปกติเทอม 1</vt:lpstr>
      <vt:lpstr>4) ลิงก์วันเรียนเสริมเทอม 1</vt:lpstr>
      <vt:lpstr>5.)ตัวอย่างลำดับการโพสเรียนปกติ</vt:lpstr>
      <vt:lpstr>linkเรียนประจำวัน</vt:lpstr>
      <vt:lpstr>linkรูปหัวข้อเรียน</vt:lpstr>
      <vt:lpstr>linkรูปอาจารย์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bomb</cp:lastModifiedBy>
  <dcterms:created xsi:type="dcterms:W3CDTF">2021-06-16T03:50:33Z</dcterms:created>
  <dcterms:modified xsi:type="dcterms:W3CDTF">2025-11-24T13:39:15Z</dcterms:modified>
</cp:coreProperties>
</file>